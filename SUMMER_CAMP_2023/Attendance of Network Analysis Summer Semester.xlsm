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FAHIM BHUTTO\Desktop\"/>
    </mc:Choice>
  </mc:AlternateContent>
  <xr:revisionPtr revIDLastSave="0" documentId="8_{2DA42F9E-C254-487D-8132-837AFE9697C7}" xr6:coauthVersionLast="47" xr6:coauthVersionMax="47" xr10:uidLastSave="{00000000-0000-0000-0000-000000000000}"/>
  <bookViews>
    <workbookView xWindow="-120" yWindow="-120" windowWidth="20730" windowHeight="11160" firstSheet="5" activeTab="5" xr2:uid="{00000000-000D-0000-FFFF-FFFF00000000}"/>
  </bookViews>
  <sheets>
    <sheet name="Electricity meg" sheetId="75" r:id="rId1"/>
    <sheet name="Electro magnetic feild theo (2" sheetId="67" r:id="rId2"/>
    <sheet name="Power system Analysis " sheetId="53" r:id="rId3"/>
    <sheet name="Signal &amp; systen " sheetId="62" r:id="rId4"/>
    <sheet name="calulus and Analystical Geomatr" sheetId="63" r:id="rId5"/>
    <sheet name="Electrical network analysis " sheetId="6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61" l="1"/>
  <c r="Q12" i="61"/>
  <c r="Q13" i="61"/>
  <c r="Q14" i="61"/>
  <c r="Q15" i="61"/>
  <c r="Q17" i="61"/>
  <c r="Q18" i="61"/>
  <c r="Q19" i="61"/>
  <c r="Q20" i="61"/>
  <c r="Q21" i="61"/>
  <c r="Q22" i="61"/>
  <c r="Q23" i="61"/>
  <c r="Q9" i="61"/>
  <c r="P10" i="61"/>
  <c r="Q10" i="61" s="1"/>
  <c r="P11" i="61"/>
  <c r="P12" i="61"/>
  <c r="P13" i="61"/>
  <c r="P14" i="61"/>
  <c r="P15" i="61"/>
  <c r="P16" i="61"/>
  <c r="Q16" i="61" s="1"/>
  <c r="P17" i="61"/>
  <c r="P18" i="61"/>
  <c r="P19" i="61"/>
  <c r="P20" i="61"/>
  <c r="P21" i="61"/>
  <c r="P22" i="61"/>
  <c r="P23" i="61"/>
  <c r="P24" i="61"/>
  <c r="Q24" i="61" s="1"/>
  <c r="P9" i="61"/>
  <c r="A24" i="61"/>
  <c r="P8" i="61"/>
  <c r="A10" i="63" l="1"/>
  <c r="A11" i="63" s="1"/>
  <c r="A12" i="63" s="1"/>
  <c r="A13" i="63" s="1"/>
  <c r="A14" i="63" s="1"/>
  <c r="A15" i="63" s="1"/>
  <c r="A16" i="63" s="1"/>
  <c r="A17" i="63" s="1"/>
  <c r="A18" i="63" s="1"/>
  <c r="A19" i="63" s="1"/>
  <c r="A10" i="75" l="1"/>
  <c r="A11" i="75" s="1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1" i="75" s="1"/>
  <c r="A32" i="75" s="1"/>
  <c r="A33" i="75" s="1"/>
  <c r="A34" i="75" s="1"/>
  <c r="A35" i="75" s="1"/>
  <c r="A36" i="75" s="1"/>
  <c r="A37" i="75" s="1"/>
  <c r="A38" i="75" s="1"/>
  <c r="A39" i="75" s="1"/>
  <c r="A40" i="75" s="1"/>
  <c r="A41" i="75" s="1"/>
  <c r="A42" i="75" s="1"/>
  <c r="A10" i="67" l="1"/>
  <c r="A11" i="67" s="1"/>
  <c r="A12" i="67" s="1"/>
  <c r="A13" i="67" s="1"/>
  <c r="A14" i="67" s="1"/>
  <c r="A15" i="67" l="1"/>
  <c r="A16" i="67" s="1"/>
  <c r="A17" i="67" s="1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8" i="67" s="1"/>
  <c r="A10" i="62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10" i="53" l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10" i="61" l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He was candidate from waiting list from waiting-I and could not report till 5 11 2019 due to not cell no he has reported on after that he has reported on 13 11 19</t>
        </r>
      </text>
    </comment>
    <comment ref="B2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intered in dual form on 24/10/2019</t>
        </r>
      </text>
    </comment>
  </commentList>
</comments>
</file>

<file path=xl/sharedStrings.xml><?xml version="1.0" encoding="utf-8"?>
<sst xmlns="http://schemas.openxmlformats.org/spreadsheetml/2006/main" count="314" uniqueCount="210">
  <si>
    <t>Total</t>
  </si>
  <si>
    <t>Name of Student</t>
  </si>
  <si>
    <t>Department of Electrical Engineering</t>
  </si>
  <si>
    <t>Diff</t>
  </si>
  <si>
    <t>Sch Cl</t>
  </si>
  <si>
    <t>Held Cl</t>
  </si>
  <si>
    <t>Date</t>
  </si>
  <si>
    <t>Abdul Rauf</t>
  </si>
  <si>
    <t>Code:</t>
  </si>
  <si>
    <t>Date:</t>
  </si>
  <si>
    <t>Weeks</t>
  </si>
  <si>
    <t>Mansoor Ahmed</t>
  </si>
  <si>
    <t>Nisar Ahmed</t>
  </si>
  <si>
    <t>18EL87</t>
  </si>
  <si>
    <t>Teacher:</t>
  </si>
  <si>
    <t>Subject:</t>
  </si>
  <si>
    <t>Fasi Ullah</t>
  </si>
  <si>
    <t>Azmat Ullah</t>
  </si>
  <si>
    <t>19EL02</t>
  </si>
  <si>
    <t>19EL04</t>
  </si>
  <si>
    <t>19EL44</t>
  </si>
  <si>
    <t>19EL54</t>
  </si>
  <si>
    <t>19EL56</t>
  </si>
  <si>
    <t>19EL19</t>
  </si>
  <si>
    <t>19EL25</t>
  </si>
  <si>
    <t>19EL27</t>
  </si>
  <si>
    <t>19EL29</t>
  </si>
  <si>
    <t>19EL37</t>
  </si>
  <si>
    <t>19EL39</t>
  </si>
  <si>
    <t>19EL43</t>
  </si>
  <si>
    <t>19EL45</t>
  </si>
  <si>
    <t>19EL53</t>
  </si>
  <si>
    <t>19EL57</t>
  </si>
  <si>
    <t>Ghulam Murtaza</t>
  </si>
  <si>
    <t>20EL16</t>
  </si>
  <si>
    <t>20EL18</t>
  </si>
  <si>
    <t>20EL28</t>
  </si>
  <si>
    <t>20EL30</t>
  </si>
  <si>
    <t>20EL34</t>
  </si>
  <si>
    <t>20EL36</t>
  </si>
  <si>
    <t>20EL44</t>
  </si>
  <si>
    <t>20EL52</t>
  </si>
  <si>
    <t>20EL29</t>
  </si>
  <si>
    <t>20EL31</t>
  </si>
  <si>
    <t>20EL45</t>
  </si>
  <si>
    <t>20EL47</t>
  </si>
  <si>
    <t>20EL49</t>
  </si>
  <si>
    <t>20EL53</t>
  </si>
  <si>
    <t>19EL64</t>
  </si>
  <si>
    <t>Department of Electrical Engin+BV4+BV1+BV1:CK23</t>
  </si>
  <si>
    <t>Departmet of Electrical Engineering</t>
  </si>
  <si>
    <t xml:space="preserve">Usama </t>
  </si>
  <si>
    <t>21EL04</t>
  </si>
  <si>
    <t>21EL12</t>
  </si>
  <si>
    <t>21EL48</t>
  </si>
  <si>
    <t>21EL09</t>
  </si>
  <si>
    <t>21EL45</t>
  </si>
  <si>
    <t xml:space="preserve">Teacher; </t>
  </si>
  <si>
    <t xml:space="preserve">Subject; </t>
  </si>
  <si>
    <t xml:space="preserve">Abdul Malik </t>
  </si>
  <si>
    <t xml:space="preserve">Ali Raza </t>
  </si>
  <si>
    <t xml:space="preserve"> </t>
  </si>
  <si>
    <t xml:space="preserve"> with crossover mark  over writing is not allowed</t>
  </si>
  <si>
    <t xml:space="preserve">S. No </t>
  </si>
  <si>
    <r>
      <t xml:space="preserve">Note: Please indicate present students while </t>
    </r>
    <r>
      <rPr>
        <b/>
        <sz val="10"/>
        <rFont val="Times New Roman"/>
        <family val="1"/>
      </rPr>
      <t xml:space="preserve">Circle </t>
    </r>
    <r>
      <rPr>
        <sz val="10"/>
        <rFont val="Times New Roman"/>
        <family val="1"/>
      </rPr>
      <t>and absentees</t>
    </r>
  </si>
  <si>
    <t xml:space="preserve">S.No </t>
  </si>
  <si>
    <t xml:space="preserve">Month: </t>
  </si>
  <si>
    <t xml:space="preserve">Teacher's Signature </t>
  </si>
  <si>
    <r>
      <t xml:space="preserve">Note: Please indicate present students while </t>
    </r>
    <r>
      <rPr>
        <b/>
        <sz val="11"/>
        <rFont val="Calibri"/>
        <family val="2"/>
        <scheme val="minor"/>
      </rPr>
      <t xml:space="preserve">Circle </t>
    </r>
    <r>
      <rPr>
        <sz val="11"/>
        <rFont val="Calibri"/>
        <family val="2"/>
        <scheme val="minor"/>
      </rPr>
      <t xml:space="preserve">and absentees </t>
    </r>
  </si>
  <si>
    <t xml:space="preserve">Teacher's Singature </t>
  </si>
  <si>
    <r>
      <rPr>
        <sz val="10"/>
        <rFont val="Calibri"/>
        <family val="2"/>
        <scheme val="minor"/>
      </rPr>
      <t xml:space="preserve">Note: Please indicate present students while </t>
    </r>
    <r>
      <rPr>
        <b/>
        <sz val="10"/>
        <rFont val="Calibri"/>
        <family val="2"/>
        <scheme val="minor"/>
      </rPr>
      <t xml:space="preserve">Circle </t>
    </r>
    <r>
      <rPr>
        <sz val="10"/>
        <rFont val="Calibri"/>
        <family val="2"/>
        <scheme val="minor"/>
      </rPr>
      <t>and absentees with crossover mark  over writing is not allowed</t>
    </r>
  </si>
  <si>
    <r>
      <t xml:space="preserve">Note: Please indicate present students while </t>
    </r>
    <r>
      <rPr>
        <b/>
        <sz val="10"/>
        <rFont val="Calibri"/>
        <family val="2"/>
        <scheme val="minor"/>
      </rPr>
      <t xml:space="preserve">Circle </t>
    </r>
    <r>
      <rPr>
        <sz val="10"/>
        <rFont val="Calibri"/>
        <family val="2"/>
        <scheme val="minor"/>
      </rPr>
      <t>and absentees with crossover mark  over writing is not allowed</t>
    </r>
  </si>
  <si>
    <t xml:space="preserve">Daily Attendence sheet of </t>
  </si>
  <si>
    <t>Muhammad Hanif</t>
  </si>
  <si>
    <t>Amil Khan</t>
  </si>
  <si>
    <t>Shah Muhammad</t>
  </si>
  <si>
    <t>Salman Khan</t>
  </si>
  <si>
    <t>Nazir Ahmed</t>
  </si>
  <si>
    <t xml:space="preserve">Abdulllah </t>
  </si>
  <si>
    <t>Syed Abdul Samad</t>
  </si>
  <si>
    <t>Nazeer Ahmed</t>
  </si>
  <si>
    <t>18EL65</t>
  </si>
  <si>
    <t>18EL72</t>
  </si>
  <si>
    <t>18EL58</t>
  </si>
  <si>
    <t>18EL81</t>
  </si>
  <si>
    <t>18EL89</t>
  </si>
  <si>
    <t>Faheem Khan</t>
  </si>
  <si>
    <t>Adnan Anwar</t>
  </si>
  <si>
    <t>Zeshan Tahir</t>
  </si>
  <si>
    <t>Mohd Hamza</t>
  </si>
  <si>
    <t>Arsalan Saif</t>
  </si>
  <si>
    <t>Zubeed Ullah</t>
  </si>
  <si>
    <t>Mohd Muddsir</t>
  </si>
  <si>
    <t>Noor Mohd</t>
  </si>
  <si>
    <t>ZafarUllah</t>
  </si>
  <si>
    <t>Ali Raza</t>
  </si>
  <si>
    <t>Ismail</t>
  </si>
  <si>
    <t>Nabeel Ahmed</t>
  </si>
  <si>
    <t>Khalid Khan</t>
  </si>
  <si>
    <t>Musa Khan</t>
  </si>
  <si>
    <t>Nadeem ul Haq</t>
  </si>
  <si>
    <t>Faraz Hussain</t>
  </si>
  <si>
    <t xml:space="preserve">Fahmeeda </t>
  </si>
  <si>
    <t>18EL77</t>
  </si>
  <si>
    <t xml:space="preserve">Muqaddas Shoaib </t>
  </si>
  <si>
    <t xml:space="preserve">Mansoor Ahmed </t>
  </si>
  <si>
    <t xml:space="preserve">Muhammad </t>
  </si>
  <si>
    <t xml:space="preserve">Malik Sheryar </t>
  </si>
  <si>
    <t xml:space="preserve">Abdul Rauf </t>
  </si>
  <si>
    <t>Sharif Lehri</t>
  </si>
  <si>
    <t xml:space="preserve">Muhammad Awaiz </t>
  </si>
  <si>
    <t xml:space="preserve">Muhammad Imran </t>
  </si>
  <si>
    <t xml:space="preserve">Fameeda </t>
  </si>
  <si>
    <t>22EL10</t>
  </si>
  <si>
    <t>22EL32</t>
  </si>
  <si>
    <t>22EL57</t>
  </si>
  <si>
    <t>22EL23</t>
  </si>
  <si>
    <t>22EL55</t>
  </si>
  <si>
    <t>18EL84</t>
  </si>
  <si>
    <t>22EL53</t>
  </si>
  <si>
    <t>22EL43</t>
  </si>
  <si>
    <t>22EL40</t>
  </si>
  <si>
    <t>Daily Attendence sheet of Signal and System</t>
  </si>
  <si>
    <t xml:space="preserve">Malik Shehryar </t>
  </si>
  <si>
    <t xml:space="preserve">Shahzaib Sultan </t>
  </si>
  <si>
    <t xml:space="preserve">Adnan Ahmed </t>
  </si>
  <si>
    <t xml:space="preserve">Saad Naseer </t>
  </si>
  <si>
    <t>18EL68</t>
  </si>
  <si>
    <t xml:space="preserve">Bilal Ahmed </t>
  </si>
  <si>
    <t xml:space="preserve">Daily Attendence sheet of Electricity and Megnistim </t>
  </si>
  <si>
    <t xml:space="preserve">Arif Ali </t>
  </si>
  <si>
    <r>
      <t xml:space="preserve">Note: Please indicate present students while </t>
    </r>
    <r>
      <rPr>
        <b/>
        <sz val="10"/>
        <rFont val="Times New Roman"/>
        <family val="1"/>
      </rPr>
      <t xml:space="preserve">Circle </t>
    </r>
    <r>
      <rPr>
        <sz val="10"/>
        <rFont val="Times New Roman"/>
        <family val="1"/>
      </rPr>
      <t>and absentees
with crossover mark  over writing is not allowed</t>
    </r>
  </si>
  <si>
    <t>19EL06</t>
  </si>
  <si>
    <t>19EL07</t>
  </si>
  <si>
    <t>18EL78</t>
  </si>
  <si>
    <t xml:space="preserve">Suraj Kumar </t>
  </si>
  <si>
    <t>20EL51</t>
  </si>
  <si>
    <t>20EL03</t>
  </si>
  <si>
    <t>Bilal Ahmed</t>
  </si>
  <si>
    <t>Zahoor Ahmed</t>
  </si>
  <si>
    <t>Usama</t>
  </si>
  <si>
    <t>Hamid Khan</t>
  </si>
  <si>
    <t>Fayyaz Ahmed</t>
  </si>
  <si>
    <t>Saddam Hussain</t>
  </si>
  <si>
    <t>MarIa</t>
  </si>
  <si>
    <t>Nail Qazi</t>
  </si>
  <si>
    <t xml:space="preserve">Ismail </t>
  </si>
  <si>
    <t>kamran</t>
  </si>
  <si>
    <t>Abdul Hanan</t>
  </si>
  <si>
    <t>Jahangeer Balocch</t>
  </si>
  <si>
    <t>Sajid Ali</t>
  </si>
  <si>
    <t>Naveed Ahmed</t>
  </si>
  <si>
    <t>Hafeez Ahmed</t>
  </si>
  <si>
    <t>Mohd Sulemen</t>
  </si>
  <si>
    <t>Misbah</t>
  </si>
  <si>
    <t>Abdul Raheem</t>
  </si>
  <si>
    <t>Shah Sarwar</t>
  </si>
  <si>
    <t>Saima Qayyum</t>
  </si>
  <si>
    <t>Mumtaz Ahmed</t>
  </si>
  <si>
    <t>17EL58</t>
  </si>
  <si>
    <t>21EL57</t>
  </si>
  <si>
    <t>21EL53</t>
  </si>
  <si>
    <t>21EL29</t>
  </si>
  <si>
    <t>21EL46</t>
  </si>
  <si>
    <t>20EL04</t>
  </si>
  <si>
    <t>21EL58</t>
  </si>
  <si>
    <t>21EL52</t>
  </si>
  <si>
    <t>21EL23</t>
  </si>
  <si>
    <t>21EL19</t>
  </si>
  <si>
    <t>21EL35</t>
  </si>
  <si>
    <t>21EL24</t>
  </si>
  <si>
    <t>18EL69</t>
  </si>
  <si>
    <t>18EL45</t>
  </si>
  <si>
    <t>17EL57</t>
  </si>
  <si>
    <t>17EL80</t>
  </si>
  <si>
    <t>20ECE05</t>
  </si>
  <si>
    <t>19ECE23</t>
  </si>
  <si>
    <t>Code: EE-316</t>
  </si>
  <si>
    <t xml:space="preserve">Daily Attendence Power System Analysis </t>
  </si>
  <si>
    <t xml:space="preserve">Daily Attendence sheet of Calculus  and Analytical Geometry </t>
  </si>
  <si>
    <t>18EL63</t>
  </si>
  <si>
    <t>21EL05</t>
  </si>
  <si>
    <t xml:space="preserve">Nazeer Ahmed </t>
  </si>
  <si>
    <t xml:space="preserve">Samar Ubaid </t>
  </si>
  <si>
    <t>Malik Faiz Mohd</t>
  </si>
  <si>
    <t>Rehan khuda Bakhs</t>
  </si>
  <si>
    <t xml:space="preserve">Waheed Ahmed </t>
  </si>
  <si>
    <t xml:space="preserve">Hammad Izat </t>
  </si>
  <si>
    <t xml:space="preserve">Zubair shah </t>
  </si>
  <si>
    <t>Aftab Ahmed</t>
  </si>
  <si>
    <t>20EL25</t>
  </si>
  <si>
    <t>Daily Attendence sheet of Electrical Network Analysis</t>
  </si>
  <si>
    <t>Waheed Ahmed</t>
  </si>
  <si>
    <t>Ahmed Yar khan</t>
  </si>
  <si>
    <t xml:space="preserve">Ahmed Karim </t>
  </si>
  <si>
    <t>19ECE 22</t>
  </si>
  <si>
    <t xml:space="preserve">Saddam Hussain </t>
  </si>
  <si>
    <t xml:space="preserve">Muhammad Mustaq </t>
  </si>
  <si>
    <t>20 EL28</t>
  </si>
  <si>
    <t xml:space="preserve">Zid Ahmed </t>
  </si>
  <si>
    <t xml:space="preserve">Abdul Wahid </t>
  </si>
  <si>
    <t>19ECE39</t>
  </si>
  <si>
    <t>Muhammad Tufail</t>
  </si>
  <si>
    <t>19EL60</t>
  </si>
  <si>
    <t>%age</t>
  </si>
  <si>
    <t>20EL08</t>
  </si>
  <si>
    <t>Time</t>
  </si>
  <si>
    <t>Month: Aug-Septem:</t>
  </si>
  <si>
    <t>Teacher: Dr. Wazir Muhammad</t>
  </si>
  <si>
    <t>Subject: Electrical Network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</si>
</sst>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imes New Roman"/>
      <family val="1"/>
    </font>
    <font>
      <sz val="10"/>
      <name val="Times New Roman"/>
      <family val="1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sz val="10"/>
      <name val="Arial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5" fillId="0" borderId="0" applyFont="0" applyFill="0" applyBorder="0" applyAlignment="0" applyProtection="0"/>
  </cellStyleXfs>
  <cellXfs count="151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7" xfId="0" applyFont="1" applyBorder="1" applyAlignment="1">
      <alignment vertical="center" wrapText="1"/>
    </xf>
    <xf numFmtId="0" fontId="10" fillId="0" borderId="7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vertical="center"/>
    </xf>
    <xf numFmtId="0" fontId="6" fillId="0" borderId="0" xfId="0" applyFont="1"/>
    <xf numFmtId="164" fontId="6" fillId="0" borderId="1" xfId="0" applyNumberFormat="1" applyFont="1" applyBorder="1" applyAlignment="1">
      <alignment horizontal="left" vertical="center"/>
    </xf>
    <xf numFmtId="0" fontId="5" fillId="0" borderId="1" xfId="0" applyFont="1" applyBorder="1"/>
    <xf numFmtId="164" fontId="14" fillId="0" borderId="1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/>
    <xf numFmtId="0" fontId="13" fillId="0" borderId="1" xfId="0" applyFont="1" applyBorder="1"/>
    <xf numFmtId="0" fontId="14" fillId="0" borderId="4" xfId="0" applyFont="1" applyBorder="1"/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/>
    </xf>
    <xf numFmtId="0" fontId="15" fillId="0" borderId="7" xfId="0" applyFont="1" applyBorder="1" applyAlignment="1">
      <alignment horizontal="left" vertical="center"/>
    </xf>
    <xf numFmtId="0" fontId="15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4" fillId="0" borderId="0" xfId="0" applyFont="1"/>
    <xf numFmtId="0" fontId="14" fillId="0" borderId="1" xfId="0" applyFont="1" applyBorder="1" applyAlignment="1">
      <alignment horizontal="center"/>
    </xf>
    <xf numFmtId="0" fontId="16" fillId="0" borderId="1" xfId="0" applyFont="1" applyBorder="1" applyAlignment="1">
      <alignment horizontal="left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164" fontId="16" fillId="0" borderId="1" xfId="0" applyNumberFormat="1" applyFont="1" applyBorder="1" applyAlignment="1">
      <alignment horizontal="left" vertical="center"/>
    </xf>
    <xf numFmtId="0" fontId="16" fillId="0" borderId="3" xfId="0" applyFont="1" applyBorder="1" applyAlignment="1">
      <alignment horizontal="left"/>
    </xf>
    <xf numFmtId="0" fontId="16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14" fillId="0" borderId="6" xfId="0" applyFont="1" applyBorder="1"/>
    <xf numFmtId="0" fontId="14" fillId="0" borderId="7" xfId="0" applyFont="1" applyBorder="1"/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22" fillId="0" borderId="1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1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23" fillId="0" borderId="1" xfId="0" applyFont="1" applyBorder="1" applyAlignment="1">
      <alignment vertical="center" wrapText="1"/>
    </xf>
    <xf numFmtId="0" fontId="16" fillId="0" borderId="5" xfId="0" applyFont="1" applyBorder="1" applyAlignment="1">
      <alignment horizontal="center"/>
    </xf>
    <xf numFmtId="0" fontId="16" fillId="0" borderId="7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4" fillId="0" borderId="7" xfId="0" applyFont="1" applyBorder="1" applyAlignment="1">
      <alignment horizontal="center" vertical="center"/>
    </xf>
    <xf numFmtId="0" fontId="16" fillId="0" borderId="3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5" fillId="0" borderId="5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2" fillId="0" borderId="3" xfId="0" applyFont="1" applyBorder="1"/>
    <xf numFmtId="0" fontId="16" fillId="0" borderId="7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2" fillId="0" borderId="7" xfId="0" applyFont="1" applyBorder="1" applyAlignment="1">
      <alignment vertical="center" wrapText="1"/>
    </xf>
    <xf numFmtId="0" fontId="22" fillId="0" borderId="3" xfId="0" applyFont="1" applyBorder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17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14" fillId="0" borderId="6" xfId="0" applyFont="1" applyBorder="1"/>
    <xf numFmtId="0" fontId="14" fillId="0" borderId="7" xfId="0" applyFont="1" applyBorder="1"/>
    <xf numFmtId="0" fontId="16" fillId="0" borderId="8" xfId="0" applyFont="1" applyBorder="1" applyAlignment="1">
      <alignment horizontal="left" vertical="center"/>
    </xf>
    <xf numFmtId="0" fontId="0" fillId="0" borderId="8" xfId="0" applyBorder="1"/>
    <xf numFmtId="0" fontId="14" fillId="0" borderId="3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164" fontId="14" fillId="0" borderId="5" xfId="0" applyNumberFormat="1" applyFont="1" applyBorder="1" applyAlignment="1">
      <alignment horizontal="left" vertical="center"/>
    </xf>
    <xf numFmtId="164" fontId="14" fillId="0" borderId="6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left" vertical="center"/>
    </xf>
    <xf numFmtId="164" fontId="6" fillId="0" borderId="6" xfId="0" applyNumberFormat="1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0" fillId="0" borderId="6" xfId="0" applyBorder="1"/>
    <xf numFmtId="0" fontId="0" fillId="0" borderId="7" xfId="0" applyBorder="1"/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64" fontId="16" fillId="0" borderId="1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9" fontId="16" fillId="0" borderId="1" xfId="1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4" fillId="0" borderId="0" xfId="0" applyFont="1"/>
    <xf numFmtId="0" fontId="19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7"/>
  <sheetViews>
    <sheetView topLeftCell="A4" zoomScaleNormal="100" workbookViewId="0">
      <selection activeCell="H12" sqref="H12"/>
    </sheetView>
  </sheetViews>
  <sheetFormatPr defaultRowHeight="12.75" x14ac:dyDescent="0.2"/>
  <cols>
    <col min="1" max="1" width="5" customWidth="1"/>
    <col min="2" max="2" width="19.28515625" customWidth="1"/>
    <col min="3" max="3" width="8.28515625" customWidth="1"/>
    <col min="4" max="4" width="4.5703125" customWidth="1"/>
    <col min="5" max="5" width="4.42578125" customWidth="1"/>
    <col min="6" max="6" width="3.5703125" customWidth="1"/>
    <col min="7" max="7" width="3.85546875" customWidth="1"/>
    <col min="8" max="8" width="4.140625" customWidth="1"/>
    <col min="9" max="9" width="2.7109375" customWidth="1"/>
    <col min="10" max="10" width="3.28515625" customWidth="1"/>
    <col min="11" max="11" width="3.5703125" customWidth="1"/>
    <col min="12" max="12" width="2.7109375" customWidth="1"/>
    <col min="13" max="14" width="4.140625" customWidth="1"/>
    <col min="15" max="15" width="4.42578125" customWidth="1"/>
    <col min="16" max="16" width="4.28515625" customWidth="1"/>
    <col min="17" max="17" width="6.28515625" customWidth="1"/>
    <col min="18" max="18" width="6" customWidth="1"/>
    <col min="19" max="19" width="20" customWidth="1"/>
    <col min="20" max="20" width="6.85546875" customWidth="1"/>
    <col min="21" max="21" width="2.7109375" customWidth="1"/>
    <col min="22" max="22" width="3.28515625" customWidth="1"/>
    <col min="23" max="23" width="3" customWidth="1"/>
    <col min="24" max="32" width="3.5703125" customWidth="1"/>
    <col min="33" max="36" width="3.7109375" customWidth="1"/>
    <col min="37" max="37" width="4.7109375" customWidth="1"/>
    <col min="38" max="38" width="4.42578125" customWidth="1"/>
    <col min="39" max="39" width="15.85546875" customWidth="1"/>
    <col min="40" max="40" width="6.85546875" customWidth="1"/>
    <col min="41" max="52" width="3.42578125" customWidth="1"/>
    <col min="53" max="56" width="3.7109375" customWidth="1"/>
    <col min="57" max="57" width="4.7109375" customWidth="1"/>
    <col min="58" max="58" width="4.42578125" customWidth="1"/>
    <col min="59" max="59" width="16.28515625" customWidth="1"/>
    <col min="60" max="60" width="6.5703125" customWidth="1"/>
    <col min="61" max="69" width="3.140625" customWidth="1"/>
    <col min="70" max="72" width="3.7109375" customWidth="1"/>
    <col min="73" max="73" width="4.7109375" customWidth="1"/>
    <col min="74" max="74" width="4.42578125" customWidth="1"/>
    <col min="75" max="75" width="16" customWidth="1"/>
    <col min="76" max="76" width="6.5703125" customWidth="1"/>
    <col min="77" max="85" width="3.28515625" customWidth="1"/>
    <col min="86" max="88" width="3.7109375" customWidth="1"/>
    <col min="89" max="89" width="4.7109375" customWidth="1"/>
    <col min="90" max="90" width="4.42578125" customWidth="1"/>
  </cols>
  <sheetData>
    <row r="1" spans="1:19" ht="15" x14ac:dyDescent="0.25">
      <c r="A1" s="26"/>
      <c r="B1" s="92" t="s">
        <v>50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37"/>
    </row>
    <row r="2" spans="1:19" ht="15" x14ac:dyDescent="0.25">
      <c r="A2" s="26"/>
      <c r="B2" s="92" t="s">
        <v>129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37"/>
    </row>
    <row r="3" spans="1:19" ht="15" x14ac:dyDescent="0.25">
      <c r="A3" s="26"/>
      <c r="B3" s="20" t="s">
        <v>66</v>
      </c>
      <c r="C3" s="101" t="s">
        <v>14</v>
      </c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3"/>
      <c r="S3" s="37"/>
    </row>
    <row r="4" spans="1:19" ht="15" x14ac:dyDescent="0.25">
      <c r="A4" s="26"/>
      <c r="B4" s="104" t="s">
        <v>15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21" t="s">
        <v>8</v>
      </c>
      <c r="O4" s="21"/>
      <c r="P4" s="90"/>
      <c r="Q4" s="90"/>
      <c r="R4" s="91"/>
      <c r="S4" s="37"/>
    </row>
    <row r="5" spans="1:19" ht="15" x14ac:dyDescent="0.25">
      <c r="A5" s="93" t="s">
        <v>65</v>
      </c>
      <c r="B5" s="93" t="s">
        <v>1</v>
      </c>
      <c r="C5" s="22" t="s">
        <v>10</v>
      </c>
      <c r="D5" s="89">
        <v>1</v>
      </c>
      <c r="E5" s="90"/>
      <c r="F5" s="90"/>
      <c r="G5" s="89">
        <v>2</v>
      </c>
      <c r="H5" s="90"/>
      <c r="I5" s="90"/>
      <c r="J5" s="89">
        <v>3</v>
      </c>
      <c r="K5" s="90"/>
      <c r="L5" s="90"/>
      <c r="M5" s="89">
        <v>4</v>
      </c>
      <c r="N5" s="90"/>
      <c r="O5" s="90"/>
      <c r="P5" s="91"/>
      <c r="Q5" s="92" t="s">
        <v>0</v>
      </c>
      <c r="R5" s="92" t="s">
        <v>3</v>
      </c>
      <c r="S5" s="37"/>
    </row>
    <row r="6" spans="1:19" ht="15" x14ac:dyDescent="0.25">
      <c r="A6" s="94"/>
      <c r="B6" s="94"/>
      <c r="C6" s="23" t="s">
        <v>9</v>
      </c>
      <c r="D6" s="23"/>
      <c r="E6" s="23"/>
      <c r="F6" s="23"/>
      <c r="G6" s="23"/>
      <c r="H6" s="23"/>
      <c r="I6" s="23"/>
      <c r="J6" s="23"/>
      <c r="K6" s="23"/>
      <c r="L6" s="23"/>
      <c r="M6" s="24"/>
      <c r="N6" s="24"/>
      <c r="O6" s="24"/>
      <c r="P6" s="24"/>
      <c r="Q6" s="92"/>
      <c r="R6" s="92"/>
      <c r="S6" s="37"/>
    </row>
    <row r="7" spans="1:19" ht="15" x14ac:dyDescent="0.25">
      <c r="A7" s="94"/>
      <c r="B7" s="94"/>
      <c r="C7" s="24" t="s">
        <v>4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93"/>
      <c r="S7" s="37"/>
    </row>
    <row r="8" spans="1:19" ht="15" x14ac:dyDescent="0.25">
      <c r="A8" s="100"/>
      <c r="B8" s="94"/>
      <c r="C8" s="25" t="s">
        <v>5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94"/>
      <c r="S8" s="37"/>
    </row>
    <row r="9" spans="1:19" x14ac:dyDescent="0.2">
      <c r="A9" s="71">
        <v>1</v>
      </c>
      <c r="B9" s="86" t="s">
        <v>126</v>
      </c>
      <c r="C9" s="86" t="s">
        <v>46</v>
      </c>
      <c r="D9" s="81">
        <v>49</v>
      </c>
      <c r="E9" s="81">
        <v>49</v>
      </c>
      <c r="F9" s="81">
        <v>49</v>
      </c>
      <c r="G9" s="81">
        <v>49</v>
      </c>
      <c r="H9" s="81">
        <v>49</v>
      </c>
      <c r="I9" s="81">
        <v>49</v>
      </c>
      <c r="J9" s="81">
        <v>49</v>
      </c>
      <c r="K9" s="81">
        <v>49</v>
      </c>
      <c r="L9" s="81">
        <v>49</v>
      </c>
      <c r="M9" s="81">
        <v>49</v>
      </c>
      <c r="N9" s="81">
        <v>49</v>
      </c>
      <c r="O9" s="81">
        <v>49</v>
      </c>
      <c r="P9" s="81">
        <v>49</v>
      </c>
      <c r="Q9" s="57"/>
      <c r="R9" s="57"/>
    </row>
    <row r="10" spans="1:19" x14ac:dyDescent="0.2">
      <c r="A10" s="71">
        <f>A9+1</f>
        <v>2</v>
      </c>
      <c r="B10" s="86" t="s">
        <v>123</v>
      </c>
      <c r="C10" s="86" t="s">
        <v>116</v>
      </c>
      <c r="D10" s="81">
        <v>23</v>
      </c>
      <c r="E10" s="81">
        <v>23</v>
      </c>
      <c r="F10" s="81">
        <v>23</v>
      </c>
      <c r="G10" s="81">
        <v>23</v>
      </c>
      <c r="H10" s="81">
        <v>23</v>
      </c>
      <c r="I10" s="81">
        <v>23</v>
      </c>
      <c r="J10" s="81">
        <v>23</v>
      </c>
      <c r="K10" s="81">
        <v>23</v>
      </c>
      <c r="L10" s="81">
        <v>23</v>
      </c>
      <c r="M10" s="81">
        <v>23</v>
      </c>
      <c r="N10" s="81">
        <v>23</v>
      </c>
      <c r="O10" s="81">
        <v>23</v>
      </c>
      <c r="P10" s="81">
        <v>23</v>
      </c>
      <c r="Q10" s="2"/>
      <c r="R10" s="2"/>
    </row>
    <row r="11" spans="1:19" x14ac:dyDescent="0.2">
      <c r="A11" s="71">
        <f t="shared" ref="A11:A42" si="0">A10+1</f>
        <v>3</v>
      </c>
      <c r="B11" s="86" t="s">
        <v>108</v>
      </c>
      <c r="C11" s="86" t="s">
        <v>117</v>
      </c>
      <c r="D11" s="81">
        <v>55</v>
      </c>
      <c r="E11" s="81">
        <v>55</v>
      </c>
      <c r="F11" s="81">
        <v>55</v>
      </c>
      <c r="G11" s="81">
        <v>55</v>
      </c>
      <c r="H11" s="81">
        <v>55</v>
      </c>
      <c r="I11" s="81">
        <v>55</v>
      </c>
      <c r="J11" s="81">
        <v>55</v>
      </c>
      <c r="K11" s="81">
        <v>55</v>
      </c>
      <c r="L11" s="81">
        <v>55</v>
      </c>
      <c r="M11" s="81">
        <v>55</v>
      </c>
      <c r="N11" s="81">
        <v>55</v>
      </c>
      <c r="O11" s="81">
        <v>55</v>
      </c>
      <c r="P11" s="81">
        <v>55</v>
      </c>
      <c r="Q11" s="2"/>
      <c r="R11" s="2"/>
    </row>
    <row r="12" spans="1:19" x14ac:dyDescent="0.2">
      <c r="A12" s="71">
        <f t="shared" si="0"/>
        <v>4</v>
      </c>
      <c r="B12" s="86" t="s">
        <v>60</v>
      </c>
      <c r="C12" s="86" t="s">
        <v>47</v>
      </c>
      <c r="D12" s="81">
        <v>53</v>
      </c>
      <c r="E12" s="81">
        <v>53</v>
      </c>
      <c r="F12" s="81">
        <v>53</v>
      </c>
      <c r="G12" s="81">
        <v>53</v>
      </c>
      <c r="H12" s="81">
        <v>53</v>
      </c>
      <c r="I12" s="81">
        <v>53</v>
      </c>
      <c r="J12" s="81">
        <v>53</v>
      </c>
      <c r="K12" s="81">
        <v>53</v>
      </c>
      <c r="L12" s="81">
        <v>53</v>
      </c>
      <c r="M12" s="81">
        <v>53</v>
      </c>
      <c r="N12" s="81">
        <v>53</v>
      </c>
      <c r="O12" s="81">
        <v>53</v>
      </c>
      <c r="P12" s="81">
        <v>53</v>
      </c>
      <c r="Q12" s="2"/>
      <c r="R12" s="2"/>
    </row>
    <row r="13" spans="1:19" x14ac:dyDescent="0.2">
      <c r="A13" s="71">
        <f t="shared" si="0"/>
        <v>5</v>
      </c>
      <c r="B13" s="86" t="s">
        <v>124</v>
      </c>
      <c r="C13" s="86" t="s">
        <v>48</v>
      </c>
      <c r="D13" s="81">
        <v>64</v>
      </c>
      <c r="E13" s="81">
        <v>64</v>
      </c>
      <c r="F13" s="81">
        <v>64</v>
      </c>
      <c r="G13" s="81">
        <v>64</v>
      </c>
      <c r="H13" s="81">
        <v>64</v>
      </c>
      <c r="I13" s="81">
        <v>64</v>
      </c>
      <c r="J13" s="81">
        <v>64</v>
      </c>
      <c r="K13" s="81">
        <v>64</v>
      </c>
      <c r="L13" s="81">
        <v>64</v>
      </c>
      <c r="M13" s="81">
        <v>64</v>
      </c>
      <c r="N13" s="81">
        <v>64</v>
      </c>
      <c r="O13" s="81">
        <v>64</v>
      </c>
      <c r="P13" s="81">
        <v>64</v>
      </c>
      <c r="Q13" s="2"/>
      <c r="R13" s="2"/>
    </row>
    <row r="14" spans="1:19" x14ac:dyDescent="0.2">
      <c r="A14" s="71">
        <f t="shared" si="0"/>
        <v>6</v>
      </c>
      <c r="B14" s="86" t="s">
        <v>125</v>
      </c>
      <c r="C14" s="86" t="s">
        <v>127</v>
      </c>
      <c r="D14" s="81">
        <v>68</v>
      </c>
      <c r="E14" s="81">
        <v>68</v>
      </c>
      <c r="F14" s="81">
        <v>68</v>
      </c>
      <c r="G14" s="81">
        <v>68</v>
      </c>
      <c r="H14" s="81">
        <v>68</v>
      </c>
      <c r="I14" s="81">
        <v>68</v>
      </c>
      <c r="J14" s="81">
        <v>68</v>
      </c>
      <c r="K14" s="81">
        <v>68</v>
      </c>
      <c r="L14" s="81">
        <v>68</v>
      </c>
      <c r="M14" s="81">
        <v>68</v>
      </c>
      <c r="N14" s="81">
        <v>68</v>
      </c>
      <c r="O14" s="81">
        <v>68</v>
      </c>
      <c r="P14" s="81">
        <v>68</v>
      </c>
      <c r="Q14" s="2"/>
      <c r="R14" s="2"/>
    </row>
    <row r="15" spans="1:19" ht="17.25" customHeight="1" x14ac:dyDescent="0.2">
      <c r="A15" s="71">
        <f t="shared" si="0"/>
        <v>7</v>
      </c>
      <c r="B15" s="86" t="s">
        <v>199</v>
      </c>
      <c r="C15" s="86" t="s">
        <v>176</v>
      </c>
      <c r="D15" s="81">
        <v>23</v>
      </c>
      <c r="E15" s="81">
        <v>23</v>
      </c>
      <c r="F15" s="81">
        <v>23</v>
      </c>
      <c r="G15" s="81">
        <v>23</v>
      </c>
      <c r="H15" s="81">
        <v>23</v>
      </c>
      <c r="I15" s="81">
        <v>23</v>
      </c>
      <c r="J15" s="81">
        <v>23</v>
      </c>
      <c r="K15" s="81">
        <v>23</v>
      </c>
      <c r="L15" s="81">
        <v>23</v>
      </c>
      <c r="M15" s="81">
        <v>23</v>
      </c>
      <c r="N15" s="81">
        <v>23</v>
      </c>
      <c r="O15" s="81">
        <v>23</v>
      </c>
      <c r="P15" s="81">
        <v>23</v>
      </c>
      <c r="Q15" s="2"/>
      <c r="R15" s="2"/>
    </row>
    <row r="16" spans="1:19" ht="17.25" customHeight="1" x14ac:dyDescent="0.2">
      <c r="A16" s="71">
        <f t="shared" si="0"/>
        <v>8</v>
      </c>
      <c r="B16" s="86" t="s">
        <v>200</v>
      </c>
      <c r="C16" s="86" t="s">
        <v>201</v>
      </c>
      <c r="D16" s="81">
        <v>39</v>
      </c>
      <c r="E16" s="81">
        <v>39</v>
      </c>
      <c r="F16" s="81">
        <v>39</v>
      </c>
      <c r="G16" s="81">
        <v>39</v>
      </c>
      <c r="H16" s="81">
        <v>39</v>
      </c>
      <c r="I16" s="81">
        <v>39</v>
      </c>
      <c r="J16" s="81">
        <v>39</v>
      </c>
      <c r="K16" s="81">
        <v>39</v>
      </c>
      <c r="L16" s="81">
        <v>39</v>
      </c>
      <c r="M16" s="81">
        <v>39</v>
      </c>
      <c r="N16" s="81">
        <v>39</v>
      </c>
      <c r="O16" s="81">
        <v>39</v>
      </c>
      <c r="P16" s="81">
        <v>39</v>
      </c>
      <c r="Q16" s="2"/>
      <c r="R16" s="2"/>
    </row>
    <row r="17" spans="1:18" ht="15" x14ac:dyDescent="0.25">
      <c r="A17" s="38">
        <f t="shared" si="0"/>
        <v>9</v>
      </c>
      <c r="B17" s="85"/>
      <c r="C17" s="69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ht="15" x14ac:dyDescent="0.25">
      <c r="A18" s="38">
        <f t="shared" si="0"/>
        <v>10</v>
      </c>
      <c r="B18" s="3"/>
      <c r="C18" s="4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ht="15" x14ac:dyDescent="0.25">
      <c r="A19" s="38">
        <f t="shared" si="0"/>
        <v>11</v>
      </c>
      <c r="B19" s="3"/>
      <c r="C19" s="4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ht="15" x14ac:dyDescent="0.25">
      <c r="A20" s="38">
        <f t="shared" si="0"/>
        <v>12</v>
      </c>
      <c r="B20" s="3"/>
      <c r="C20" s="4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ht="15" x14ac:dyDescent="0.25">
      <c r="A21" s="38">
        <f t="shared" si="0"/>
        <v>13</v>
      </c>
      <c r="B21" s="3"/>
      <c r="C21" s="4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15" x14ac:dyDescent="0.25">
      <c r="A22" s="38">
        <f t="shared" si="0"/>
        <v>14</v>
      </c>
      <c r="B22" s="3"/>
      <c r="C22" s="4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15" x14ac:dyDescent="0.25">
      <c r="A23" s="38">
        <f t="shared" si="0"/>
        <v>15</v>
      </c>
      <c r="B23" s="3"/>
      <c r="C23" s="4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ht="15" x14ac:dyDescent="0.25">
      <c r="A24" s="38">
        <f t="shared" si="0"/>
        <v>16</v>
      </c>
      <c r="B24" s="3"/>
      <c r="C24" s="4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ht="13.5" customHeight="1" x14ac:dyDescent="0.25">
      <c r="A25" s="38">
        <f t="shared" si="0"/>
        <v>17</v>
      </c>
      <c r="B25" s="3"/>
      <c r="C25" s="4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ht="15" x14ac:dyDescent="0.25">
      <c r="A26" s="38">
        <f t="shared" si="0"/>
        <v>18</v>
      </c>
      <c r="B26" s="3"/>
      <c r="C26" s="4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ht="13.5" customHeight="1" x14ac:dyDescent="0.25">
      <c r="A27" s="38">
        <f t="shared" si="0"/>
        <v>19</v>
      </c>
      <c r="B27" s="3"/>
      <c r="C27" s="4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ht="15" x14ac:dyDescent="0.25">
      <c r="A28" s="38">
        <f t="shared" si="0"/>
        <v>20</v>
      </c>
      <c r="B28" s="3"/>
      <c r="C28" s="4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ht="15" customHeight="1" x14ac:dyDescent="0.25">
      <c r="A29" s="38">
        <f t="shared" si="0"/>
        <v>21</v>
      </c>
      <c r="B29" s="3"/>
      <c r="C29" s="4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ht="15" x14ac:dyDescent="0.25">
      <c r="A30" s="38">
        <f t="shared" si="0"/>
        <v>22</v>
      </c>
      <c r="B30" s="3"/>
      <c r="C30" s="4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ht="15" x14ac:dyDescent="0.25">
      <c r="A31" s="38">
        <f t="shared" si="0"/>
        <v>23</v>
      </c>
      <c r="B31" s="3"/>
      <c r="C31" s="4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ht="15" x14ac:dyDescent="0.25">
      <c r="A32" s="38">
        <f t="shared" si="0"/>
        <v>24</v>
      </c>
      <c r="B32" s="5"/>
      <c r="C32" s="4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9" ht="15" x14ac:dyDescent="0.25">
      <c r="A33" s="38">
        <f t="shared" si="0"/>
        <v>25</v>
      </c>
      <c r="B33" s="3"/>
      <c r="C33" s="4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9" ht="15" x14ac:dyDescent="0.25">
      <c r="A34" s="38">
        <f t="shared" si="0"/>
        <v>26</v>
      </c>
      <c r="B34" s="3"/>
      <c r="C34" s="4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1:19" ht="15" x14ac:dyDescent="0.25">
      <c r="A35" s="38">
        <f t="shared" si="0"/>
        <v>27</v>
      </c>
      <c r="B35" s="5"/>
      <c r="C35" s="4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1:19" ht="15" x14ac:dyDescent="0.25">
      <c r="A36" s="38">
        <f t="shared" si="0"/>
        <v>28</v>
      </c>
      <c r="B36" s="3"/>
      <c r="C36" s="4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1:19" ht="15" x14ac:dyDescent="0.25">
      <c r="A37" s="38">
        <f t="shared" si="0"/>
        <v>29</v>
      </c>
      <c r="B37" s="3"/>
      <c r="C37" s="4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1:19" ht="11.25" customHeight="1" x14ac:dyDescent="0.25">
      <c r="A38" s="38">
        <f t="shared" si="0"/>
        <v>30</v>
      </c>
      <c r="B38" s="3"/>
      <c r="C38" s="4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9" ht="15" x14ac:dyDescent="0.25">
      <c r="A39" s="38">
        <f t="shared" si="0"/>
        <v>31</v>
      </c>
      <c r="B39" s="3"/>
      <c r="C39" s="4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9" ht="15" x14ac:dyDescent="0.25">
      <c r="A40" s="38">
        <f t="shared" si="0"/>
        <v>32</v>
      </c>
      <c r="B40" s="3"/>
      <c r="C40" s="4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9" ht="15" x14ac:dyDescent="0.25">
      <c r="A41" s="38">
        <f t="shared" si="0"/>
        <v>33</v>
      </c>
      <c r="B41" s="5"/>
      <c r="C41" s="4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1:19" ht="15" x14ac:dyDescent="0.25">
      <c r="A42" s="38">
        <f t="shared" si="0"/>
        <v>34</v>
      </c>
      <c r="B42" s="5"/>
      <c r="C42" s="4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1:19" ht="15" x14ac:dyDescent="0.25">
      <c r="A43" s="26"/>
      <c r="B43" s="34"/>
      <c r="C43" s="31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32"/>
      <c r="S43" s="37"/>
    </row>
    <row r="44" spans="1:19" ht="68.25" customHeight="1" x14ac:dyDescent="0.25">
      <c r="A44" s="95" t="s">
        <v>67</v>
      </c>
      <c r="B44" s="96"/>
      <c r="C44" s="97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7"/>
    </row>
    <row r="45" spans="1:19" ht="15" x14ac:dyDescent="0.25">
      <c r="A45" s="98" t="s">
        <v>70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37"/>
    </row>
    <row r="46" spans="1:19" ht="15" x14ac:dyDescent="0.25">
      <c r="A46" s="37"/>
      <c r="B46" s="88" t="s">
        <v>61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37"/>
    </row>
    <row r="47" spans="1:19" ht="15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</row>
  </sheetData>
  <mergeCells count="17">
    <mergeCell ref="B1:R1"/>
    <mergeCell ref="B2:R2"/>
    <mergeCell ref="C3:R3"/>
    <mergeCell ref="B4:M4"/>
    <mergeCell ref="P4:R4"/>
    <mergeCell ref="B46:R46"/>
    <mergeCell ref="M5:P5"/>
    <mergeCell ref="Q5:Q6"/>
    <mergeCell ref="R5:R6"/>
    <mergeCell ref="R7:R8"/>
    <mergeCell ref="A44:C44"/>
    <mergeCell ref="A45:R45"/>
    <mergeCell ref="A5:A8"/>
    <mergeCell ref="B5:B8"/>
    <mergeCell ref="D5:F5"/>
    <mergeCell ref="G5:I5"/>
    <mergeCell ref="J5:L5"/>
  </mergeCells>
  <printOptions horizontalCentered="1" verticalCentered="1"/>
  <pageMargins left="0.25" right="0.75" top="0.25" bottom="1.2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48"/>
  <sheetViews>
    <sheetView topLeftCell="A4" zoomScaleNormal="100" workbookViewId="0">
      <selection activeCell="H11" sqref="H11"/>
    </sheetView>
  </sheetViews>
  <sheetFormatPr defaultRowHeight="12.75" x14ac:dyDescent="0.2"/>
  <cols>
    <col min="1" max="1" width="5" customWidth="1"/>
    <col min="2" max="2" width="19.28515625" customWidth="1"/>
    <col min="3" max="3" width="7.5703125" bestFit="1" customWidth="1"/>
    <col min="4" max="4" width="4.5703125" customWidth="1"/>
    <col min="5" max="5" width="4.42578125" customWidth="1"/>
    <col min="6" max="6" width="3.5703125" customWidth="1"/>
    <col min="7" max="7" width="3.85546875" customWidth="1"/>
    <col min="8" max="8" width="4.140625" customWidth="1"/>
    <col min="9" max="9" width="2.7109375" customWidth="1"/>
    <col min="10" max="10" width="3.28515625" customWidth="1"/>
    <col min="11" max="11" width="3.5703125" customWidth="1"/>
    <col min="12" max="12" width="2.7109375" customWidth="1"/>
    <col min="13" max="14" width="4.140625" customWidth="1"/>
    <col min="15" max="15" width="4.42578125" customWidth="1"/>
    <col min="16" max="16" width="4.28515625" customWidth="1"/>
    <col min="17" max="17" width="6.28515625" customWidth="1"/>
    <col min="18" max="18" width="6" customWidth="1"/>
    <col min="19" max="19" width="20" customWidth="1"/>
    <col min="20" max="20" width="6.85546875" customWidth="1"/>
    <col min="21" max="21" width="2.7109375" customWidth="1"/>
    <col min="22" max="22" width="3.28515625" customWidth="1"/>
    <col min="23" max="23" width="3" customWidth="1"/>
    <col min="24" max="32" width="3.5703125" customWidth="1"/>
    <col min="33" max="36" width="3.7109375" customWidth="1"/>
    <col min="37" max="37" width="4.7109375" customWidth="1"/>
    <col min="38" max="38" width="4.42578125" customWidth="1"/>
    <col min="39" max="39" width="15.85546875" customWidth="1"/>
    <col min="40" max="40" width="6.85546875" customWidth="1"/>
    <col min="41" max="52" width="3.42578125" customWidth="1"/>
    <col min="53" max="56" width="3.7109375" customWidth="1"/>
    <col min="57" max="57" width="4.7109375" customWidth="1"/>
    <col min="58" max="58" width="4.42578125" customWidth="1"/>
    <col min="59" max="59" width="16.28515625" customWidth="1"/>
    <col min="60" max="60" width="6.5703125" customWidth="1"/>
    <col min="61" max="69" width="3.140625" customWidth="1"/>
    <col min="70" max="72" width="3.7109375" customWidth="1"/>
    <col min="73" max="73" width="4.7109375" customWidth="1"/>
    <col min="74" max="74" width="4.42578125" customWidth="1"/>
    <col min="75" max="75" width="16" customWidth="1"/>
    <col min="76" max="76" width="6.5703125" customWidth="1"/>
    <col min="77" max="85" width="3.28515625" customWidth="1"/>
    <col min="86" max="88" width="3.7109375" customWidth="1"/>
    <col min="89" max="89" width="4.7109375" customWidth="1"/>
    <col min="90" max="90" width="4.42578125" customWidth="1"/>
  </cols>
  <sheetData>
    <row r="1" spans="1:19" ht="15" x14ac:dyDescent="0.25">
      <c r="A1" s="26"/>
      <c r="B1" s="92" t="s">
        <v>50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37"/>
    </row>
    <row r="2" spans="1:19" ht="15" x14ac:dyDescent="0.25">
      <c r="A2" s="26"/>
      <c r="B2" s="92" t="s">
        <v>72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37"/>
    </row>
    <row r="3" spans="1:19" ht="15" x14ac:dyDescent="0.25">
      <c r="A3" s="26"/>
      <c r="B3" s="20" t="s">
        <v>66</v>
      </c>
      <c r="C3" s="101" t="s">
        <v>14</v>
      </c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3"/>
      <c r="S3" s="37"/>
    </row>
    <row r="4" spans="1:19" ht="15" x14ac:dyDescent="0.25">
      <c r="A4" s="26"/>
      <c r="B4" s="104" t="s">
        <v>15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21" t="s">
        <v>8</v>
      </c>
      <c r="O4" s="21"/>
      <c r="P4" s="90"/>
      <c r="Q4" s="90"/>
      <c r="R4" s="91"/>
      <c r="S4" s="37"/>
    </row>
    <row r="5" spans="1:19" ht="15" x14ac:dyDescent="0.25">
      <c r="A5" s="93" t="s">
        <v>65</v>
      </c>
      <c r="B5" s="93" t="s">
        <v>1</v>
      </c>
      <c r="C5" s="22" t="s">
        <v>10</v>
      </c>
      <c r="D5" s="89">
        <v>1</v>
      </c>
      <c r="E5" s="90"/>
      <c r="F5" s="90"/>
      <c r="G5" s="89">
        <v>2</v>
      </c>
      <c r="H5" s="90"/>
      <c r="I5" s="90"/>
      <c r="J5" s="89">
        <v>3</v>
      </c>
      <c r="K5" s="90"/>
      <c r="L5" s="90"/>
      <c r="M5" s="89">
        <v>4</v>
      </c>
      <c r="N5" s="90"/>
      <c r="O5" s="90"/>
      <c r="P5" s="91"/>
      <c r="Q5" s="92" t="s">
        <v>0</v>
      </c>
      <c r="R5" s="92" t="s">
        <v>3</v>
      </c>
      <c r="S5" s="37"/>
    </row>
    <row r="6" spans="1:19" ht="15" x14ac:dyDescent="0.25">
      <c r="A6" s="94"/>
      <c r="B6" s="94"/>
      <c r="C6" s="23" t="s">
        <v>9</v>
      </c>
      <c r="D6" s="23"/>
      <c r="E6" s="23"/>
      <c r="F6" s="23"/>
      <c r="G6" s="23"/>
      <c r="H6" s="23"/>
      <c r="I6" s="23"/>
      <c r="J6" s="23"/>
      <c r="K6" s="23"/>
      <c r="L6" s="23"/>
      <c r="M6" s="24"/>
      <c r="N6" s="24"/>
      <c r="O6" s="24"/>
      <c r="P6" s="24"/>
      <c r="Q6" s="92"/>
      <c r="R6" s="92"/>
      <c r="S6" s="37"/>
    </row>
    <row r="7" spans="1:19" ht="15" x14ac:dyDescent="0.25">
      <c r="A7" s="94"/>
      <c r="B7" s="94"/>
      <c r="C7" s="24" t="s">
        <v>4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93"/>
      <c r="S7" s="37"/>
    </row>
    <row r="8" spans="1:19" ht="15" x14ac:dyDescent="0.25">
      <c r="A8" s="100"/>
      <c r="B8" s="94"/>
      <c r="C8" s="25" t="s">
        <v>5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94"/>
      <c r="S8" s="37"/>
    </row>
    <row r="9" spans="1:19" ht="15" x14ac:dyDescent="0.25">
      <c r="A9" s="66">
        <v>1</v>
      </c>
      <c r="B9" s="70" t="s">
        <v>92</v>
      </c>
      <c r="C9" s="70" t="s">
        <v>198</v>
      </c>
      <c r="D9" s="67">
        <v>28</v>
      </c>
      <c r="E9" s="57">
        <v>28</v>
      </c>
      <c r="F9" s="57">
        <v>28</v>
      </c>
      <c r="G9" s="57">
        <v>28</v>
      </c>
      <c r="H9" s="57">
        <v>28</v>
      </c>
      <c r="I9" s="57">
        <v>28</v>
      </c>
      <c r="J9" s="57">
        <v>28</v>
      </c>
      <c r="K9" s="57">
        <v>28</v>
      </c>
      <c r="L9" s="57">
        <v>28</v>
      </c>
      <c r="M9" s="57">
        <v>28</v>
      </c>
      <c r="N9" s="57">
        <v>28</v>
      </c>
      <c r="O9" s="57">
        <v>28</v>
      </c>
      <c r="P9" s="57">
        <v>28</v>
      </c>
      <c r="Q9" s="2"/>
      <c r="R9" s="2"/>
    </row>
    <row r="10" spans="1:19" ht="15" x14ac:dyDescent="0.25">
      <c r="A10" s="66">
        <f>A9+1</f>
        <v>2</v>
      </c>
      <c r="B10" s="70" t="s">
        <v>138</v>
      </c>
      <c r="C10" s="70" t="s">
        <v>84</v>
      </c>
      <c r="D10" s="67">
        <v>81</v>
      </c>
      <c r="E10" s="57">
        <v>81</v>
      </c>
      <c r="F10" s="57">
        <v>81</v>
      </c>
      <c r="G10" s="57">
        <v>81</v>
      </c>
      <c r="H10" s="57">
        <v>81</v>
      </c>
      <c r="I10" s="57">
        <v>81</v>
      </c>
      <c r="J10" s="57">
        <v>81</v>
      </c>
      <c r="K10" s="57">
        <v>81</v>
      </c>
      <c r="L10" s="57">
        <v>81</v>
      </c>
      <c r="M10" s="57">
        <v>81</v>
      </c>
      <c r="N10" s="57">
        <v>81</v>
      </c>
      <c r="O10" s="57">
        <v>81</v>
      </c>
      <c r="P10" s="57">
        <v>81</v>
      </c>
      <c r="Q10" s="2"/>
      <c r="R10" s="2"/>
    </row>
    <row r="11" spans="1:19" ht="15" x14ac:dyDescent="0.25">
      <c r="A11" s="66">
        <f t="shared" ref="A11:A36" si="0">A10+1</f>
        <v>3</v>
      </c>
      <c r="B11" s="70" t="s">
        <v>140</v>
      </c>
      <c r="C11" s="70" t="s">
        <v>52</v>
      </c>
      <c r="D11" s="67">
        <v>4</v>
      </c>
      <c r="E11" s="67">
        <v>4</v>
      </c>
      <c r="F11" s="67">
        <v>4</v>
      </c>
      <c r="G11" s="67">
        <v>4</v>
      </c>
      <c r="H11" s="67">
        <v>4</v>
      </c>
      <c r="I11" s="67">
        <v>4</v>
      </c>
      <c r="J11" s="67">
        <v>4</v>
      </c>
      <c r="K11" s="67">
        <v>4</v>
      </c>
      <c r="L11" s="67">
        <v>4</v>
      </c>
      <c r="M11" s="67">
        <v>4</v>
      </c>
      <c r="N11" s="67">
        <v>4</v>
      </c>
      <c r="O11" s="67">
        <v>4</v>
      </c>
      <c r="P11" s="67">
        <v>4</v>
      </c>
      <c r="Q11" s="68"/>
      <c r="R11" s="2"/>
    </row>
    <row r="12" spans="1:19" ht="15" x14ac:dyDescent="0.25">
      <c r="A12" s="66">
        <f t="shared" si="0"/>
        <v>4</v>
      </c>
      <c r="B12" s="70" t="s">
        <v>141</v>
      </c>
      <c r="C12" s="70" t="s">
        <v>161</v>
      </c>
      <c r="D12" s="67">
        <v>53</v>
      </c>
      <c r="E12" s="67">
        <v>53</v>
      </c>
      <c r="F12" s="67">
        <v>53</v>
      </c>
      <c r="G12" s="67">
        <v>53</v>
      </c>
      <c r="H12" s="67">
        <v>53</v>
      </c>
      <c r="I12" s="67">
        <v>53</v>
      </c>
      <c r="J12" s="67">
        <v>53</v>
      </c>
      <c r="K12" s="67">
        <v>53</v>
      </c>
      <c r="L12" s="67">
        <v>53</v>
      </c>
      <c r="M12" s="67">
        <v>53</v>
      </c>
      <c r="N12" s="67">
        <v>53</v>
      </c>
      <c r="O12" s="67">
        <v>53</v>
      </c>
      <c r="P12" s="67">
        <v>53</v>
      </c>
      <c r="Q12" s="2"/>
      <c r="R12" s="2"/>
    </row>
    <row r="13" spans="1:19" ht="15" x14ac:dyDescent="0.25">
      <c r="A13" s="66">
        <f t="shared" si="0"/>
        <v>5</v>
      </c>
      <c r="B13" s="70" t="s">
        <v>142</v>
      </c>
      <c r="C13" s="70" t="s">
        <v>162</v>
      </c>
      <c r="D13" s="67">
        <v>29</v>
      </c>
      <c r="E13" s="67">
        <v>29</v>
      </c>
      <c r="F13" s="67">
        <v>29</v>
      </c>
      <c r="G13" s="67">
        <v>29</v>
      </c>
      <c r="H13" s="67">
        <v>29</v>
      </c>
      <c r="I13" s="67">
        <v>29</v>
      </c>
      <c r="J13" s="67">
        <v>29</v>
      </c>
      <c r="K13" s="67">
        <v>29</v>
      </c>
      <c r="L13" s="67">
        <v>29</v>
      </c>
      <c r="M13" s="67">
        <v>29</v>
      </c>
      <c r="N13" s="67">
        <v>29</v>
      </c>
      <c r="O13" s="67">
        <v>29</v>
      </c>
      <c r="P13" s="67">
        <v>29</v>
      </c>
      <c r="Q13" s="2"/>
      <c r="R13" s="2"/>
    </row>
    <row r="14" spans="1:19" ht="15" x14ac:dyDescent="0.25">
      <c r="A14" s="66">
        <f t="shared" si="0"/>
        <v>6</v>
      </c>
      <c r="B14" s="70" t="s">
        <v>143</v>
      </c>
      <c r="C14" s="70" t="s">
        <v>163</v>
      </c>
      <c r="D14" s="67">
        <v>46</v>
      </c>
      <c r="E14" s="67">
        <v>46</v>
      </c>
      <c r="F14" s="67">
        <v>46</v>
      </c>
      <c r="G14" s="67">
        <v>46</v>
      </c>
      <c r="H14" s="67">
        <v>46</v>
      </c>
      <c r="I14" s="67">
        <v>46</v>
      </c>
      <c r="J14" s="67">
        <v>46</v>
      </c>
      <c r="K14" s="67">
        <v>46</v>
      </c>
      <c r="L14" s="67">
        <v>46</v>
      </c>
      <c r="M14" s="67">
        <v>46</v>
      </c>
      <c r="N14" s="67">
        <v>46</v>
      </c>
      <c r="O14" s="67">
        <v>46</v>
      </c>
      <c r="P14" s="67">
        <v>46</v>
      </c>
      <c r="Q14" s="2"/>
      <c r="R14" s="2"/>
    </row>
    <row r="15" spans="1:19" ht="15" x14ac:dyDescent="0.25">
      <c r="A15" s="66">
        <f t="shared" si="0"/>
        <v>7</v>
      </c>
      <c r="B15" s="70" t="s">
        <v>196</v>
      </c>
      <c r="C15" s="70" t="s">
        <v>159</v>
      </c>
      <c r="D15" s="67">
        <v>58</v>
      </c>
      <c r="E15" s="67">
        <v>58</v>
      </c>
      <c r="F15" s="67">
        <v>58</v>
      </c>
      <c r="G15" s="67">
        <v>58</v>
      </c>
      <c r="H15" s="67">
        <v>58</v>
      </c>
      <c r="I15" s="67">
        <v>58</v>
      </c>
      <c r="J15" s="67">
        <v>58</v>
      </c>
      <c r="K15" s="67">
        <v>58</v>
      </c>
      <c r="L15" s="67">
        <v>58</v>
      </c>
      <c r="M15" s="67">
        <v>58</v>
      </c>
      <c r="N15" s="67">
        <v>58</v>
      </c>
      <c r="O15" s="67">
        <v>58</v>
      </c>
      <c r="P15" s="67">
        <v>58</v>
      </c>
      <c r="Q15" s="2"/>
      <c r="R15" s="2"/>
    </row>
    <row r="16" spans="1:19" ht="15" x14ac:dyDescent="0.25">
      <c r="A16" s="66">
        <f t="shared" si="0"/>
        <v>8</v>
      </c>
      <c r="B16" s="70" t="s">
        <v>139</v>
      </c>
      <c r="C16" s="70" t="s">
        <v>160</v>
      </c>
      <c r="D16" s="67">
        <v>57</v>
      </c>
      <c r="E16" s="67">
        <v>57</v>
      </c>
      <c r="F16" s="67">
        <v>57</v>
      </c>
      <c r="G16" s="67">
        <v>57</v>
      </c>
      <c r="H16" s="67">
        <v>57</v>
      </c>
      <c r="I16" s="67">
        <v>57</v>
      </c>
      <c r="J16" s="67">
        <v>57</v>
      </c>
      <c r="K16" s="67">
        <v>57</v>
      </c>
      <c r="L16" s="67">
        <v>57</v>
      </c>
      <c r="M16" s="67">
        <v>57</v>
      </c>
      <c r="N16" s="67">
        <v>57</v>
      </c>
      <c r="O16" s="67">
        <v>57</v>
      </c>
      <c r="P16" s="67">
        <v>57</v>
      </c>
      <c r="Q16" s="2"/>
      <c r="R16" s="2"/>
    </row>
    <row r="17" spans="1:18" ht="15" x14ac:dyDescent="0.25">
      <c r="A17" s="66">
        <f t="shared" si="0"/>
        <v>9</v>
      </c>
      <c r="B17" s="70" t="s">
        <v>144</v>
      </c>
      <c r="C17" s="70" t="s">
        <v>132</v>
      </c>
      <c r="D17" s="67">
        <v>6</v>
      </c>
      <c r="E17" s="67">
        <v>6</v>
      </c>
      <c r="F17" s="67">
        <v>6</v>
      </c>
      <c r="G17" s="67">
        <v>6</v>
      </c>
      <c r="H17" s="67">
        <v>6</v>
      </c>
      <c r="I17" s="67">
        <v>6</v>
      </c>
      <c r="J17" s="67">
        <v>6</v>
      </c>
      <c r="K17" s="67">
        <v>6</v>
      </c>
      <c r="L17" s="67">
        <v>6</v>
      </c>
      <c r="M17" s="67">
        <v>6</v>
      </c>
      <c r="N17" s="67">
        <v>6</v>
      </c>
      <c r="O17" s="67">
        <v>6</v>
      </c>
      <c r="P17" s="67">
        <v>6</v>
      </c>
      <c r="Q17" s="2"/>
      <c r="R17" s="2"/>
    </row>
    <row r="18" spans="1:18" ht="15" x14ac:dyDescent="0.25">
      <c r="A18" s="66">
        <f t="shared" si="0"/>
        <v>10</v>
      </c>
      <c r="B18" s="70" t="s">
        <v>145</v>
      </c>
      <c r="C18" s="70" t="s">
        <v>133</v>
      </c>
      <c r="D18" s="67">
        <v>7</v>
      </c>
      <c r="E18" s="67">
        <v>7</v>
      </c>
      <c r="F18" s="67">
        <v>7</v>
      </c>
      <c r="G18" s="67">
        <v>7</v>
      </c>
      <c r="H18" s="67">
        <v>7</v>
      </c>
      <c r="I18" s="67">
        <v>7</v>
      </c>
      <c r="J18" s="67">
        <v>7</v>
      </c>
      <c r="K18" s="67">
        <v>7</v>
      </c>
      <c r="L18" s="67">
        <v>7</v>
      </c>
      <c r="M18" s="67">
        <v>7</v>
      </c>
      <c r="N18" s="67">
        <v>7</v>
      </c>
      <c r="O18" s="67">
        <v>7</v>
      </c>
      <c r="P18" s="67">
        <v>7</v>
      </c>
      <c r="Q18" s="2"/>
      <c r="R18" s="2"/>
    </row>
    <row r="19" spans="1:18" ht="15" x14ac:dyDescent="0.25">
      <c r="A19" s="66">
        <f t="shared" si="0"/>
        <v>11</v>
      </c>
      <c r="B19" s="70" t="s">
        <v>146</v>
      </c>
      <c r="C19" s="70" t="s">
        <v>56</v>
      </c>
      <c r="D19" s="67">
        <v>45</v>
      </c>
      <c r="E19" s="67">
        <v>45</v>
      </c>
      <c r="F19" s="67">
        <v>45</v>
      </c>
      <c r="G19" s="67">
        <v>45</v>
      </c>
      <c r="H19" s="67">
        <v>45</v>
      </c>
      <c r="I19" s="67">
        <v>45</v>
      </c>
      <c r="J19" s="67">
        <v>45</v>
      </c>
      <c r="K19" s="67">
        <v>45</v>
      </c>
      <c r="L19" s="67">
        <v>45</v>
      </c>
      <c r="M19" s="67">
        <v>45</v>
      </c>
      <c r="N19" s="67">
        <v>45</v>
      </c>
      <c r="O19" s="67">
        <v>45</v>
      </c>
      <c r="P19" s="67">
        <v>45</v>
      </c>
      <c r="Q19" s="2"/>
      <c r="R19" s="2"/>
    </row>
    <row r="20" spans="1:18" ht="15" x14ac:dyDescent="0.25">
      <c r="A20" s="66">
        <f t="shared" si="0"/>
        <v>12</v>
      </c>
      <c r="B20" s="70" t="s">
        <v>147</v>
      </c>
      <c r="C20" s="70" t="s">
        <v>165</v>
      </c>
      <c r="D20" s="67">
        <v>58</v>
      </c>
      <c r="E20" s="67">
        <v>58</v>
      </c>
      <c r="F20" s="67">
        <v>58</v>
      </c>
      <c r="G20" s="67">
        <v>58</v>
      </c>
      <c r="H20" s="67">
        <v>58</v>
      </c>
      <c r="I20" s="67">
        <v>58</v>
      </c>
      <c r="J20" s="67">
        <v>58</v>
      </c>
      <c r="K20" s="67">
        <v>58</v>
      </c>
      <c r="L20" s="67">
        <v>58</v>
      </c>
      <c r="M20" s="67">
        <v>58</v>
      </c>
      <c r="N20" s="67">
        <v>58</v>
      </c>
      <c r="O20" s="67">
        <v>58</v>
      </c>
      <c r="P20" s="67">
        <v>58</v>
      </c>
      <c r="Q20" s="2"/>
      <c r="R20" s="2"/>
    </row>
    <row r="21" spans="1:18" ht="15" x14ac:dyDescent="0.25">
      <c r="A21" s="66">
        <f t="shared" si="0"/>
        <v>13</v>
      </c>
      <c r="B21" s="70" t="s">
        <v>148</v>
      </c>
      <c r="C21" s="70" t="s">
        <v>166</v>
      </c>
      <c r="D21" s="67">
        <v>52</v>
      </c>
      <c r="E21" s="67">
        <v>52</v>
      </c>
      <c r="F21" s="67">
        <v>52</v>
      </c>
      <c r="G21" s="67">
        <v>52</v>
      </c>
      <c r="H21" s="67">
        <v>52</v>
      </c>
      <c r="I21" s="67">
        <v>52</v>
      </c>
      <c r="J21" s="67">
        <v>52</v>
      </c>
      <c r="K21" s="67">
        <v>52</v>
      </c>
      <c r="L21" s="67">
        <v>52</v>
      </c>
      <c r="M21" s="67">
        <v>52</v>
      </c>
      <c r="N21" s="67">
        <v>52</v>
      </c>
      <c r="O21" s="67">
        <v>52</v>
      </c>
      <c r="P21" s="67">
        <v>52</v>
      </c>
      <c r="Q21" s="2"/>
      <c r="R21" s="2"/>
    </row>
    <row r="22" spans="1:18" ht="15" x14ac:dyDescent="0.25">
      <c r="A22" s="66">
        <f t="shared" si="0"/>
        <v>14</v>
      </c>
      <c r="B22" s="70" t="s">
        <v>149</v>
      </c>
      <c r="C22" s="70" t="s">
        <v>54</v>
      </c>
      <c r="D22" s="67">
        <v>48</v>
      </c>
      <c r="E22" s="67">
        <v>48</v>
      </c>
      <c r="F22" s="67">
        <v>48</v>
      </c>
      <c r="G22" s="67">
        <v>48</v>
      </c>
      <c r="H22" s="67">
        <v>48</v>
      </c>
      <c r="I22" s="67">
        <v>48</v>
      </c>
      <c r="J22" s="67">
        <v>48</v>
      </c>
      <c r="K22" s="67">
        <v>48</v>
      </c>
      <c r="L22" s="67">
        <v>48</v>
      </c>
      <c r="M22" s="67">
        <v>48</v>
      </c>
      <c r="N22" s="67">
        <v>48</v>
      </c>
      <c r="O22" s="67">
        <v>48</v>
      </c>
      <c r="P22" s="67">
        <v>48</v>
      </c>
      <c r="Q22" s="2"/>
      <c r="R22" s="2"/>
    </row>
    <row r="23" spans="1:18" ht="15" x14ac:dyDescent="0.25">
      <c r="A23" s="66">
        <f t="shared" si="0"/>
        <v>15</v>
      </c>
      <c r="B23" s="70" t="s">
        <v>150</v>
      </c>
      <c r="C23" s="70" t="s">
        <v>167</v>
      </c>
      <c r="D23" s="67">
        <v>23</v>
      </c>
      <c r="E23" s="67">
        <v>23</v>
      </c>
      <c r="F23" s="67">
        <v>23</v>
      </c>
      <c r="G23" s="67">
        <v>23</v>
      </c>
      <c r="H23" s="67">
        <v>23</v>
      </c>
      <c r="I23" s="67">
        <v>23</v>
      </c>
      <c r="J23" s="67">
        <v>23</v>
      </c>
      <c r="K23" s="67">
        <v>23</v>
      </c>
      <c r="L23" s="67">
        <v>23</v>
      </c>
      <c r="M23" s="67">
        <v>23</v>
      </c>
      <c r="N23" s="67">
        <v>23</v>
      </c>
      <c r="O23" s="67">
        <v>23</v>
      </c>
      <c r="P23" s="67">
        <v>23</v>
      </c>
      <c r="Q23" s="2"/>
      <c r="R23" s="2"/>
    </row>
    <row r="24" spans="1:18" ht="15" x14ac:dyDescent="0.25">
      <c r="A24" s="66">
        <f t="shared" si="0"/>
        <v>16</v>
      </c>
      <c r="B24" s="70" t="s">
        <v>33</v>
      </c>
      <c r="C24" s="70" t="s">
        <v>53</v>
      </c>
      <c r="D24" s="67">
        <v>12</v>
      </c>
      <c r="E24" s="67">
        <v>12</v>
      </c>
      <c r="F24" s="67">
        <v>12</v>
      </c>
      <c r="G24" s="67">
        <v>12</v>
      </c>
      <c r="H24" s="67">
        <v>12</v>
      </c>
      <c r="I24" s="67">
        <v>12</v>
      </c>
      <c r="J24" s="67">
        <v>12</v>
      </c>
      <c r="K24" s="67">
        <v>12</v>
      </c>
      <c r="L24" s="67">
        <v>12</v>
      </c>
      <c r="M24" s="67">
        <v>12</v>
      </c>
      <c r="N24" s="67">
        <v>12</v>
      </c>
      <c r="O24" s="67">
        <v>12</v>
      </c>
      <c r="P24" s="67">
        <v>12</v>
      </c>
      <c r="Q24" s="2"/>
      <c r="R24" s="2"/>
    </row>
    <row r="25" spans="1:18" ht="13.5" customHeight="1" x14ac:dyDescent="0.25">
      <c r="A25" s="66">
        <f t="shared" si="0"/>
        <v>17</v>
      </c>
      <c r="B25" s="70" t="s">
        <v>151</v>
      </c>
      <c r="C25" s="70" t="s">
        <v>168</v>
      </c>
      <c r="D25" s="67">
        <v>19</v>
      </c>
      <c r="E25" s="67">
        <v>19</v>
      </c>
      <c r="F25" s="67">
        <v>19</v>
      </c>
      <c r="G25" s="67">
        <v>19</v>
      </c>
      <c r="H25" s="67">
        <v>19</v>
      </c>
      <c r="I25" s="67">
        <v>19</v>
      </c>
      <c r="J25" s="67">
        <v>19</v>
      </c>
      <c r="K25" s="67">
        <v>19</v>
      </c>
      <c r="L25" s="67">
        <v>19</v>
      </c>
      <c r="M25" s="67">
        <v>19</v>
      </c>
      <c r="N25" s="67">
        <v>19</v>
      </c>
      <c r="O25" s="67">
        <v>19</v>
      </c>
      <c r="P25" s="67">
        <v>19</v>
      </c>
      <c r="Q25" s="2"/>
      <c r="R25" s="2"/>
    </row>
    <row r="26" spans="1:18" ht="15" x14ac:dyDescent="0.25">
      <c r="A26" s="66">
        <f t="shared" si="0"/>
        <v>18</v>
      </c>
      <c r="B26" s="70" t="s">
        <v>152</v>
      </c>
      <c r="C26" s="70" t="s">
        <v>169</v>
      </c>
      <c r="D26" s="67">
        <v>35</v>
      </c>
      <c r="E26" s="67">
        <v>35</v>
      </c>
      <c r="F26" s="67">
        <v>35</v>
      </c>
      <c r="G26" s="67">
        <v>35</v>
      </c>
      <c r="H26" s="67">
        <v>35</v>
      </c>
      <c r="I26" s="67">
        <v>35</v>
      </c>
      <c r="J26" s="67">
        <v>35</v>
      </c>
      <c r="K26" s="67">
        <v>35</v>
      </c>
      <c r="L26" s="67">
        <v>35</v>
      </c>
      <c r="M26" s="67">
        <v>35</v>
      </c>
      <c r="N26" s="67">
        <v>35</v>
      </c>
      <c r="O26" s="67">
        <v>35</v>
      </c>
      <c r="P26" s="67">
        <v>35</v>
      </c>
      <c r="Q26" s="2"/>
      <c r="R26" s="2"/>
    </row>
    <row r="27" spans="1:18" ht="13.5" customHeight="1" x14ac:dyDescent="0.25">
      <c r="A27" s="66">
        <f t="shared" si="0"/>
        <v>19</v>
      </c>
      <c r="B27" s="70" t="s">
        <v>153</v>
      </c>
      <c r="C27" s="70" t="s">
        <v>170</v>
      </c>
      <c r="D27" s="67">
        <v>24</v>
      </c>
      <c r="E27" s="67">
        <v>24</v>
      </c>
      <c r="F27" s="67">
        <v>24</v>
      </c>
      <c r="G27" s="67">
        <v>24</v>
      </c>
      <c r="H27" s="67">
        <v>24</v>
      </c>
      <c r="I27" s="67">
        <v>24</v>
      </c>
      <c r="J27" s="67">
        <v>24</v>
      </c>
      <c r="K27" s="67">
        <v>24</v>
      </c>
      <c r="L27" s="67">
        <v>24</v>
      </c>
      <c r="M27" s="67">
        <v>24</v>
      </c>
      <c r="N27" s="67">
        <v>24</v>
      </c>
      <c r="O27" s="67">
        <v>24</v>
      </c>
      <c r="P27" s="67">
        <v>24</v>
      </c>
      <c r="Q27" s="2"/>
      <c r="R27" s="2"/>
    </row>
    <row r="28" spans="1:18" ht="15" x14ac:dyDescent="0.25">
      <c r="A28" s="66">
        <f t="shared" si="0"/>
        <v>20</v>
      </c>
      <c r="B28" s="70" t="s">
        <v>154</v>
      </c>
      <c r="C28" s="70" t="s">
        <v>171</v>
      </c>
      <c r="D28" s="67">
        <v>69</v>
      </c>
      <c r="E28" s="67">
        <v>69</v>
      </c>
      <c r="F28" s="67">
        <v>69</v>
      </c>
      <c r="G28" s="67">
        <v>69</v>
      </c>
      <c r="H28" s="67">
        <v>69</v>
      </c>
      <c r="I28" s="67">
        <v>69</v>
      </c>
      <c r="J28" s="67">
        <v>69</v>
      </c>
      <c r="K28" s="67">
        <v>69</v>
      </c>
      <c r="L28" s="67">
        <v>69</v>
      </c>
      <c r="M28" s="67">
        <v>69</v>
      </c>
      <c r="N28" s="67">
        <v>69</v>
      </c>
      <c r="O28" s="67">
        <v>69</v>
      </c>
      <c r="P28" s="67">
        <v>69</v>
      </c>
      <c r="Q28" s="2"/>
      <c r="R28" s="2"/>
    </row>
    <row r="29" spans="1:18" ht="15" customHeight="1" x14ac:dyDescent="0.25">
      <c r="A29" s="66">
        <f t="shared" si="0"/>
        <v>21</v>
      </c>
      <c r="B29" s="70" t="s">
        <v>155</v>
      </c>
      <c r="C29" s="70" t="s">
        <v>172</v>
      </c>
      <c r="D29" s="67">
        <v>45</v>
      </c>
      <c r="E29" s="67">
        <v>45</v>
      </c>
      <c r="F29" s="67">
        <v>45</v>
      </c>
      <c r="G29" s="67">
        <v>45</v>
      </c>
      <c r="H29" s="67">
        <v>45</v>
      </c>
      <c r="I29" s="67">
        <v>45</v>
      </c>
      <c r="J29" s="67">
        <v>45</v>
      </c>
      <c r="K29" s="67">
        <v>45</v>
      </c>
      <c r="L29" s="67">
        <v>45</v>
      </c>
      <c r="M29" s="67">
        <v>45</v>
      </c>
      <c r="N29" s="67">
        <v>45</v>
      </c>
      <c r="O29" s="67">
        <v>45</v>
      </c>
      <c r="P29" s="67">
        <v>45</v>
      </c>
      <c r="Q29" s="2"/>
      <c r="R29" s="2"/>
    </row>
    <row r="30" spans="1:18" ht="15" x14ac:dyDescent="0.25">
      <c r="A30" s="66">
        <f t="shared" si="0"/>
        <v>22</v>
      </c>
      <c r="B30" s="70" t="s">
        <v>156</v>
      </c>
      <c r="C30" s="70" t="s">
        <v>164</v>
      </c>
      <c r="D30" s="67">
        <v>4</v>
      </c>
      <c r="E30" s="67">
        <v>4</v>
      </c>
      <c r="F30" s="67">
        <v>4</v>
      </c>
      <c r="G30" s="67">
        <v>4</v>
      </c>
      <c r="H30" s="67">
        <v>4</v>
      </c>
      <c r="I30" s="67">
        <v>4</v>
      </c>
      <c r="J30" s="67">
        <v>4</v>
      </c>
      <c r="K30" s="67">
        <v>4</v>
      </c>
      <c r="L30" s="67">
        <v>4</v>
      </c>
      <c r="M30" s="67">
        <v>4</v>
      </c>
      <c r="N30" s="67">
        <v>4</v>
      </c>
      <c r="O30" s="67">
        <v>4</v>
      </c>
      <c r="P30" s="67">
        <v>4</v>
      </c>
      <c r="Q30" s="2"/>
      <c r="R30" s="2"/>
    </row>
    <row r="31" spans="1:18" ht="15" x14ac:dyDescent="0.25">
      <c r="A31" s="66">
        <f t="shared" si="0"/>
        <v>23</v>
      </c>
      <c r="B31" s="70" t="s">
        <v>157</v>
      </c>
      <c r="C31" s="70" t="s">
        <v>137</v>
      </c>
      <c r="D31" s="67">
        <v>3</v>
      </c>
      <c r="E31" s="67">
        <v>3</v>
      </c>
      <c r="F31" s="67">
        <v>3</v>
      </c>
      <c r="G31" s="67">
        <v>3</v>
      </c>
      <c r="H31" s="67">
        <v>3</v>
      </c>
      <c r="I31" s="67">
        <v>3</v>
      </c>
      <c r="J31" s="67">
        <v>3</v>
      </c>
      <c r="K31" s="67">
        <v>3</v>
      </c>
      <c r="L31" s="67">
        <v>3</v>
      </c>
      <c r="M31" s="67">
        <v>3</v>
      </c>
      <c r="N31" s="67">
        <v>3</v>
      </c>
      <c r="O31" s="67">
        <v>3</v>
      </c>
      <c r="P31" s="67">
        <v>3</v>
      </c>
      <c r="Q31" s="2"/>
      <c r="R31" s="2"/>
    </row>
    <row r="32" spans="1:18" ht="15" x14ac:dyDescent="0.25">
      <c r="A32" s="66">
        <f t="shared" si="0"/>
        <v>24</v>
      </c>
      <c r="B32" s="70" t="s">
        <v>158</v>
      </c>
      <c r="C32" s="70" t="s">
        <v>173</v>
      </c>
      <c r="D32" s="67">
        <v>57</v>
      </c>
      <c r="E32" s="67">
        <v>57</v>
      </c>
      <c r="F32" s="67">
        <v>57</v>
      </c>
      <c r="G32" s="67">
        <v>57</v>
      </c>
      <c r="H32" s="67">
        <v>57</v>
      </c>
      <c r="I32" s="67">
        <v>57</v>
      </c>
      <c r="J32" s="67">
        <v>57</v>
      </c>
      <c r="K32" s="67">
        <v>57</v>
      </c>
      <c r="L32" s="67">
        <v>57</v>
      </c>
      <c r="M32" s="67">
        <v>57</v>
      </c>
      <c r="N32" s="67">
        <v>57</v>
      </c>
      <c r="O32" s="67">
        <v>57</v>
      </c>
      <c r="P32" s="67">
        <v>57</v>
      </c>
      <c r="Q32" s="2"/>
      <c r="R32" s="1"/>
    </row>
    <row r="33" spans="1:19" ht="16.5" customHeight="1" x14ac:dyDescent="0.25">
      <c r="A33" s="66">
        <f t="shared" si="0"/>
        <v>25</v>
      </c>
      <c r="B33" s="70" t="s">
        <v>194</v>
      </c>
      <c r="C33" s="70" t="s">
        <v>175</v>
      </c>
      <c r="D33" s="67">
        <v>5</v>
      </c>
      <c r="E33" s="67">
        <v>5</v>
      </c>
      <c r="F33" s="67">
        <v>5</v>
      </c>
      <c r="G33" s="67">
        <v>5</v>
      </c>
      <c r="H33" s="67">
        <v>5</v>
      </c>
      <c r="I33" s="67">
        <v>5</v>
      </c>
      <c r="J33" s="67">
        <v>5</v>
      </c>
      <c r="K33" s="67">
        <v>5</v>
      </c>
      <c r="L33" s="67">
        <v>5</v>
      </c>
      <c r="M33" s="67">
        <v>5</v>
      </c>
      <c r="N33" s="67">
        <v>5</v>
      </c>
      <c r="O33" s="67">
        <v>5</v>
      </c>
      <c r="P33" s="67">
        <v>5</v>
      </c>
      <c r="Q33" s="2"/>
      <c r="R33" s="2"/>
    </row>
    <row r="34" spans="1:19" ht="15" x14ac:dyDescent="0.25">
      <c r="A34" s="66">
        <f t="shared" si="0"/>
        <v>26</v>
      </c>
      <c r="B34" s="70" t="s">
        <v>135</v>
      </c>
      <c r="C34" s="70" t="s">
        <v>136</v>
      </c>
      <c r="D34" s="67">
        <v>51</v>
      </c>
      <c r="E34" s="67">
        <v>51</v>
      </c>
      <c r="F34" s="67">
        <v>51</v>
      </c>
      <c r="G34" s="67">
        <v>51</v>
      </c>
      <c r="H34" s="67">
        <v>51</v>
      </c>
      <c r="I34" s="67">
        <v>51</v>
      </c>
      <c r="J34" s="67">
        <v>51</v>
      </c>
      <c r="K34" s="67">
        <v>51</v>
      </c>
      <c r="L34" s="67">
        <v>51</v>
      </c>
      <c r="M34" s="67">
        <v>51</v>
      </c>
      <c r="N34" s="67">
        <v>51</v>
      </c>
      <c r="O34" s="67">
        <v>51</v>
      </c>
      <c r="P34" s="67">
        <v>51</v>
      </c>
      <c r="Q34" s="2"/>
      <c r="R34" s="2"/>
    </row>
    <row r="35" spans="1:19" ht="15" x14ac:dyDescent="0.25">
      <c r="A35" s="66">
        <f t="shared" si="0"/>
        <v>27</v>
      </c>
      <c r="B35" s="70" t="s">
        <v>139</v>
      </c>
      <c r="C35" s="70" t="s">
        <v>160</v>
      </c>
      <c r="D35" s="67">
        <v>57</v>
      </c>
      <c r="E35" s="67">
        <v>57</v>
      </c>
      <c r="F35" s="67">
        <v>57</v>
      </c>
      <c r="G35" s="67">
        <v>57</v>
      </c>
      <c r="H35" s="67">
        <v>57</v>
      </c>
      <c r="I35" s="67">
        <v>57</v>
      </c>
      <c r="J35" s="67">
        <v>57</v>
      </c>
      <c r="K35" s="67">
        <v>57</v>
      </c>
      <c r="L35" s="67">
        <v>57</v>
      </c>
      <c r="M35" s="67">
        <v>57</v>
      </c>
      <c r="N35" s="67">
        <v>57</v>
      </c>
      <c r="O35" s="67">
        <v>57</v>
      </c>
      <c r="P35" s="67">
        <v>57</v>
      </c>
      <c r="Q35" s="2"/>
      <c r="R35" s="2"/>
    </row>
    <row r="36" spans="1:19" ht="15" x14ac:dyDescent="0.25">
      <c r="A36" s="66">
        <f t="shared" si="0"/>
        <v>28</v>
      </c>
      <c r="B36" s="70" t="s">
        <v>197</v>
      </c>
      <c r="C36" s="70" t="s">
        <v>174</v>
      </c>
      <c r="D36" s="67">
        <v>80</v>
      </c>
      <c r="E36" s="67">
        <v>80</v>
      </c>
      <c r="F36" s="67">
        <v>80</v>
      </c>
      <c r="G36" s="67">
        <v>80</v>
      </c>
      <c r="H36" s="67">
        <v>80</v>
      </c>
      <c r="I36" s="67">
        <v>80</v>
      </c>
      <c r="J36" s="67">
        <v>80</v>
      </c>
      <c r="K36" s="67">
        <v>80</v>
      </c>
      <c r="L36" s="67">
        <v>80</v>
      </c>
      <c r="M36" s="67">
        <v>80</v>
      </c>
      <c r="N36" s="67">
        <v>80</v>
      </c>
      <c r="O36" s="67">
        <v>80</v>
      </c>
      <c r="P36" s="67">
        <v>80</v>
      </c>
      <c r="Q36" s="2"/>
      <c r="R36" s="2"/>
    </row>
    <row r="37" spans="1:19" ht="15" x14ac:dyDescent="0.25">
      <c r="A37" s="38"/>
      <c r="B37" s="65"/>
      <c r="C37" s="65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9" ht="11.25" customHeight="1" x14ac:dyDescent="0.25">
      <c r="A38" s="38">
        <f>A36+1</f>
        <v>29</v>
      </c>
      <c r="B38" s="34"/>
      <c r="C38" s="31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32"/>
    </row>
    <row r="39" spans="1:19" ht="15" x14ac:dyDescent="0.25">
      <c r="A39" s="95" t="s">
        <v>67</v>
      </c>
      <c r="B39" s="96"/>
      <c r="C39" s="97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</row>
    <row r="40" spans="1:19" x14ac:dyDescent="0.2">
      <c r="A40" s="98" t="s">
        <v>70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</row>
    <row r="41" spans="1:19" ht="15" x14ac:dyDescent="0.25">
      <c r="A41" s="37"/>
      <c r="B41" s="88" t="s">
        <v>61</v>
      </c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</row>
    <row r="42" spans="1:19" ht="15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</row>
    <row r="44" spans="1:19" ht="15" x14ac:dyDescent="0.25">
      <c r="S44" s="37"/>
    </row>
    <row r="45" spans="1:19" ht="68.25" customHeight="1" x14ac:dyDescent="0.25">
      <c r="S45" s="37"/>
    </row>
    <row r="46" spans="1:19" ht="15" x14ac:dyDescent="0.25">
      <c r="S46" s="37"/>
    </row>
    <row r="47" spans="1:19" ht="15" x14ac:dyDescent="0.25">
      <c r="S47" s="37"/>
    </row>
    <row r="48" spans="1:19" ht="15" x14ac:dyDescent="0.25">
      <c r="S48" s="37"/>
    </row>
  </sheetData>
  <mergeCells count="17">
    <mergeCell ref="B41:R41"/>
    <mergeCell ref="M5:P5"/>
    <mergeCell ref="Q5:Q6"/>
    <mergeCell ref="R5:R6"/>
    <mergeCell ref="R7:R8"/>
    <mergeCell ref="A39:C39"/>
    <mergeCell ref="A40:R40"/>
    <mergeCell ref="A5:A8"/>
    <mergeCell ref="B5:B8"/>
    <mergeCell ref="D5:F5"/>
    <mergeCell ref="G5:I5"/>
    <mergeCell ref="J5:L5"/>
    <mergeCell ref="B1:R1"/>
    <mergeCell ref="B2:R2"/>
    <mergeCell ref="C3:R3"/>
    <mergeCell ref="B4:M4"/>
    <mergeCell ref="P4:R4"/>
  </mergeCells>
  <printOptions horizontalCentered="1" verticalCentered="1"/>
  <pageMargins left="0.25" right="0.75" top="0.25" bottom="0.75" header="0.3" footer="0.3"/>
  <pageSetup paperSize="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L50"/>
  <sheetViews>
    <sheetView topLeftCell="A16" zoomScaleNormal="100" workbookViewId="0">
      <selection activeCell="E36" sqref="E36"/>
    </sheetView>
  </sheetViews>
  <sheetFormatPr defaultRowHeight="12.75" x14ac:dyDescent="0.2"/>
  <cols>
    <col min="1" max="1" width="5" style="56" customWidth="1"/>
    <col min="2" max="2" width="17.7109375" customWidth="1"/>
    <col min="3" max="3" width="7" customWidth="1"/>
    <col min="4" max="4" width="3.5703125" customWidth="1"/>
    <col min="5" max="5" width="3.7109375" customWidth="1"/>
    <col min="6" max="6" width="4.140625" customWidth="1"/>
    <col min="7" max="8" width="4" customWidth="1"/>
    <col min="9" max="10" width="4.140625" customWidth="1"/>
    <col min="11" max="11" width="3.7109375" customWidth="1"/>
    <col min="12" max="12" width="3.85546875" customWidth="1"/>
    <col min="13" max="13" width="4.140625" customWidth="1"/>
    <col min="14" max="14" width="4.85546875" customWidth="1"/>
    <col min="15" max="15" width="6" customWidth="1"/>
    <col min="16" max="16" width="4.85546875" customWidth="1"/>
    <col min="17" max="17" width="5.28515625" customWidth="1"/>
    <col min="18" max="18" width="7" customWidth="1"/>
    <col min="19" max="19" width="20" customWidth="1"/>
    <col min="20" max="20" width="6.85546875" customWidth="1"/>
    <col min="21" max="21" width="2.7109375" customWidth="1"/>
    <col min="22" max="22" width="3.28515625" customWidth="1"/>
    <col min="23" max="23" width="3" customWidth="1"/>
    <col min="24" max="32" width="3.5703125" customWidth="1"/>
    <col min="33" max="36" width="3.7109375" customWidth="1"/>
    <col min="37" max="37" width="4.7109375" customWidth="1"/>
    <col min="38" max="38" width="4.42578125" customWidth="1"/>
    <col min="39" max="39" width="15.85546875" customWidth="1"/>
    <col min="40" max="40" width="6.85546875" customWidth="1"/>
    <col min="41" max="52" width="3.42578125" customWidth="1"/>
    <col min="53" max="56" width="3.7109375" customWidth="1"/>
    <col min="57" max="57" width="4.7109375" customWidth="1"/>
    <col min="58" max="58" width="4.42578125" customWidth="1"/>
    <col min="59" max="59" width="16.28515625" customWidth="1"/>
    <col min="60" max="60" width="6.5703125" customWidth="1"/>
    <col min="61" max="69" width="3.140625" customWidth="1"/>
    <col min="70" max="72" width="3.7109375" customWidth="1"/>
    <col min="73" max="73" width="4.7109375" customWidth="1"/>
    <col min="74" max="74" width="4.42578125" customWidth="1"/>
    <col min="75" max="75" width="16" customWidth="1"/>
    <col min="76" max="76" width="6.5703125" customWidth="1"/>
    <col min="77" max="85" width="3.28515625" customWidth="1"/>
    <col min="86" max="88" width="3.7109375" customWidth="1"/>
    <col min="89" max="89" width="4.7109375" customWidth="1"/>
    <col min="90" max="90" width="4.42578125" customWidth="1"/>
  </cols>
  <sheetData>
    <row r="1" spans="1:90" x14ac:dyDescent="0.2">
      <c r="A1" s="35"/>
      <c r="B1" s="118" t="s">
        <v>50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6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6" t="s">
        <v>2</v>
      </c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6" t="s">
        <v>2</v>
      </c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6" t="s">
        <v>49</v>
      </c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</row>
    <row r="2" spans="1:90" x14ac:dyDescent="0.2">
      <c r="A2" s="35"/>
      <c r="B2" s="118" t="s">
        <v>178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</row>
    <row r="3" spans="1:90" x14ac:dyDescent="0.2">
      <c r="A3" s="35"/>
      <c r="B3" s="18" t="s">
        <v>66</v>
      </c>
      <c r="C3" s="113" t="s">
        <v>57</v>
      </c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5"/>
    </row>
    <row r="4" spans="1:90" x14ac:dyDescent="0.2">
      <c r="A4" s="35"/>
      <c r="B4" s="109" t="s">
        <v>58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9" t="s">
        <v>177</v>
      </c>
      <c r="O4" s="120"/>
      <c r="P4" s="111"/>
      <c r="Q4" s="111"/>
      <c r="R4" s="112"/>
    </row>
    <row r="5" spans="1:90" x14ac:dyDescent="0.2">
      <c r="A5" s="106" t="s">
        <v>65</v>
      </c>
      <c r="B5" s="106" t="s">
        <v>1</v>
      </c>
      <c r="C5" s="11" t="s">
        <v>10</v>
      </c>
      <c r="D5" s="122">
        <v>1</v>
      </c>
      <c r="E5" s="111"/>
      <c r="F5" s="111"/>
      <c r="G5" s="122">
        <v>2</v>
      </c>
      <c r="H5" s="111"/>
      <c r="I5" s="111"/>
      <c r="J5" s="122">
        <v>3</v>
      </c>
      <c r="K5" s="111"/>
      <c r="L5" s="111"/>
      <c r="M5" s="122">
        <v>4</v>
      </c>
      <c r="N5" s="111"/>
      <c r="O5" s="111"/>
      <c r="P5" s="112"/>
      <c r="Q5" s="118" t="s">
        <v>0</v>
      </c>
      <c r="R5" s="118" t="s">
        <v>3</v>
      </c>
    </row>
    <row r="6" spans="1:90" x14ac:dyDescent="0.2">
      <c r="A6" s="107"/>
      <c r="B6" s="107"/>
      <c r="C6" s="7" t="s">
        <v>9</v>
      </c>
      <c r="D6" s="7"/>
      <c r="E6" s="7"/>
      <c r="F6" s="7"/>
      <c r="G6" s="7"/>
      <c r="H6" s="7"/>
      <c r="I6" s="7"/>
      <c r="J6" s="7"/>
      <c r="K6" s="7"/>
      <c r="L6" s="7"/>
      <c r="M6" s="8"/>
      <c r="N6" s="8"/>
      <c r="O6" s="8"/>
      <c r="P6" s="8"/>
      <c r="Q6" s="118"/>
      <c r="R6" s="118"/>
    </row>
    <row r="7" spans="1:90" x14ac:dyDescent="0.2">
      <c r="A7" s="107"/>
      <c r="B7" s="107"/>
      <c r="C7" s="8" t="s">
        <v>4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06"/>
    </row>
    <row r="8" spans="1:90" x14ac:dyDescent="0.2">
      <c r="A8" s="108"/>
      <c r="B8" s="107"/>
      <c r="C8" s="9" t="s">
        <v>5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107"/>
    </row>
    <row r="9" spans="1:90" x14ac:dyDescent="0.2">
      <c r="A9" s="62">
        <v>1</v>
      </c>
      <c r="B9" s="70" t="s">
        <v>73</v>
      </c>
      <c r="C9" s="83" t="s">
        <v>13</v>
      </c>
      <c r="D9" s="61">
        <v>87</v>
      </c>
      <c r="E9" s="61">
        <v>87</v>
      </c>
      <c r="F9" s="61">
        <v>87</v>
      </c>
      <c r="G9" s="61">
        <v>87</v>
      </c>
      <c r="H9" s="61">
        <v>87</v>
      </c>
      <c r="I9" s="61">
        <v>87</v>
      </c>
      <c r="J9" s="61">
        <v>87</v>
      </c>
      <c r="K9" s="61">
        <v>87</v>
      </c>
      <c r="L9" s="61">
        <v>87</v>
      </c>
      <c r="M9" s="61">
        <v>87</v>
      </c>
      <c r="N9" s="61">
        <v>87</v>
      </c>
      <c r="O9" s="61">
        <v>87</v>
      </c>
      <c r="P9" s="61">
        <v>87</v>
      </c>
      <c r="Q9" s="8"/>
      <c r="R9" s="8"/>
    </row>
    <row r="10" spans="1:90" x14ac:dyDescent="0.2">
      <c r="A10" s="62">
        <f>A9+1</f>
        <v>2</v>
      </c>
      <c r="B10" s="70" t="s">
        <v>11</v>
      </c>
      <c r="C10" s="83" t="s">
        <v>29</v>
      </c>
      <c r="D10" s="61">
        <v>43</v>
      </c>
      <c r="E10" s="61">
        <v>43</v>
      </c>
      <c r="F10" s="61">
        <v>43</v>
      </c>
      <c r="G10" s="61">
        <v>43</v>
      </c>
      <c r="H10" s="61">
        <v>43</v>
      </c>
      <c r="I10" s="61">
        <v>43</v>
      </c>
      <c r="J10" s="61">
        <v>43</v>
      </c>
      <c r="K10" s="61">
        <v>43</v>
      </c>
      <c r="L10" s="61">
        <v>43</v>
      </c>
      <c r="M10" s="61">
        <v>43</v>
      </c>
      <c r="N10" s="61">
        <v>43</v>
      </c>
      <c r="O10" s="61">
        <v>43</v>
      </c>
      <c r="P10" s="61">
        <v>43</v>
      </c>
      <c r="Q10" s="8"/>
      <c r="R10" s="8"/>
    </row>
    <row r="11" spans="1:90" x14ac:dyDescent="0.2">
      <c r="A11" s="62">
        <f t="shared" ref="A11:A32" si="0">A10+1</f>
        <v>3</v>
      </c>
      <c r="B11" s="70" t="s">
        <v>74</v>
      </c>
      <c r="C11" s="83" t="s">
        <v>26</v>
      </c>
      <c r="D11" s="61">
        <v>29</v>
      </c>
      <c r="E11" s="61">
        <v>29</v>
      </c>
      <c r="F11" s="61">
        <v>29</v>
      </c>
      <c r="G11" s="61">
        <v>29</v>
      </c>
      <c r="H11" s="61">
        <v>29</v>
      </c>
      <c r="I11" s="61">
        <v>29</v>
      </c>
      <c r="J11" s="61">
        <v>29</v>
      </c>
      <c r="K11" s="61">
        <v>29</v>
      </c>
      <c r="L11" s="61">
        <v>29</v>
      </c>
      <c r="M11" s="61">
        <v>29</v>
      </c>
      <c r="N11" s="61">
        <v>29</v>
      </c>
      <c r="O11" s="61">
        <v>29</v>
      </c>
      <c r="P11" s="61">
        <v>29</v>
      </c>
      <c r="Q11" s="8"/>
      <c r="R11" s="8"/>
    </row>
    <row r="12" spans="1:90" x14ac:dyDescent="0.2">
      <c r="A12" s="62">
        <f t="shared" si="0"/>
        <v>4</v>
      </c>
      <c r="B12" s="70" t="s">
        <v>75</v>
      </c>
      <c r="C12" s="83" t="s">
        <v>30</v>
      </c>
      <c r="D12" s="61">
        <v>45</v>
      </c>
      <c r="E12" s="61">
        <v>45</v>
      </c>
      <c r="F12" s="61">
        <v>45</v>
      </c>
      <c r="G12" s="61">
        <v>45</v>
      </c>
      <c r="H12" s="61">
        <v>45</v>
      </c>
      <c r="I12" s="61">
        <v>45</v>
      </c>
      <c r="J12" s="61">
        <v>45</v>
      </c>
      <c r="K12" s="61">
        <v>45</v>
      </c>
      <c r="L12" s="61">
        <v>45</v>
      </c>
      <c r="M12" s="61">
        <v>45</v>
      </c>
      <c r="N12" s="61">
        <v>45</v>
      </c>
      <c r="O12" s="61">
        <v>45</v>
      </c>
      <c r="P12" s="61">
        <v>45</v>
      </c>
      <c r="Q12" s="8"/>
      <c r="R12" s="8"/>
    </row>
    <row r="13" spans="1:90" x14ac:dyDescent="0.2">
      <c r="A13" s="62">
        <f t="shared" si="0"/>
        <v>5</v>
      </c>
      <c r="B13" s="70" t="s">
        <v>12</v>
      </c>
      <c r="C13" s="83" t="s">
        <v>28</v>
      </c>
      <c r="D13" s="61">
        <v>39</v>
      </c>
      <c r="E13" s="61">
        <v>39</v>
      </c>
      <c r="F13" s="61">
        <v>39</v>
      </c>
      <c r="G13" s="61">
        <v>39</v>
      </c>
      <c r="H13" s="61">
        <v>39</v>
      </c>
      <c r="I13" s="61">
        <v>39</v>
      </c>
      <c r="J13" s="61">
        <v>39</v>
      </c>
      <c r="K13" s="61">
        <v>39</v>
      </c>
      <c r="L13" s="61">
        <v>39</v>
      </c>
      <c r="M13" s="61">
        <v>39</v>
      </c>
      <c r="N13" s="61">
        <v>39</v>
      </c>
      <c r="O13" s="61">
        <v>39</v>
      </c>
      <c r="P13" s="61">
        <v>39</v>
      </c>
      <c r="Q13" s="8"/>
      <c r="R13" s="8"/>
    </row>
    <row r="14" spans="1:90" x14ac:dyDescent="0.2">
      <c r="A14" s="62">
        <f t="shared" si="0"/>
        <v>6</v>
      </c>
      <c r="B14" s="70" t="s">
        <v>184</v>
      </c>
      <c r="C14" s="83" t="s">
        <v>81</v>
      </c>
      <c r="D14" s="61">
        <v>65</v>
      </c>
      <c r="E14" s="61">
        <v>65</v>
      </c>
      <c r="F14" s="61">
        <v>65</v>
      </c>
      <c r="G14" s="61">
        <v>65</v>
      </c>
      <c r="H14" s="61">
        <v>65</v>
      </c>
      <c r="I14" s="61">
        <v>65</v>
      </c>
      <c r="J14" s="61">
        <v>65</v>
      </c>
      <c r="K14" s="61">
        <v>65</v>
      </c>
      <c r="L14" s="61">
        <v>65</v>
      </c>
      <c r="M14" s="61">
        <v>65</v>
      </c>
      <c r="N14" s="61">
        <v>65</v>
      </c>
      <c r="O14" s="61">
        <v>65</v>
      </c>
      <c r="P14" s="61">
        <v>65</v>
      </c>
      <c r="Q14" s="8"/>
      <c r="R14" s="8"/>
    </row>
    <row r="15" spans="1:90" x14ac:dyDescent="0.2">
      <c r="A15" s="62">
        <f t="shared" si="0"/>
        <v>7</v>
      </c>
      <c r="B15" s="70" t="s">
        <v>185</v>
      </c>
      <c r="C15" s="83" t="s">
        <v>82</v>
      </c>
      <c r="D15" s="61">
        <v>72</v>
      </c>
      <c r="E15" s="61">
        <v>72</v>
      </c>
      <c r="F15" s="61">
        <v>72</v>
      </c>
      <c r="G15" s="61">
        <v>72</v>
      </c>
      <c r="H15" s="61">
        <v>72</v>
      </c>
      <c r="I15" s="61">
        <v>72</v>
      </c>
      <c r="J15" s="61">
        <v>72</v>
      </c>
      <c r="K15" s="61">
        <v>72</v>
      </c>
      <c r="L15" s="61">
        <v>72</v>
      </c>
      <c r="M15" s="61">
        <v>72</v>
      </c>
      <c r="N15" s="61">
        <v>72</v>
      </c>
      <c r="O15" s="61">
        <v>72</v>
      </c>
      <c r="P15" s="61">
        <v>72</v>
      </c>
      <c r="Q15" s="8"/>
      <c r="R15" s="8"/>
    </row>
    <row r="16" spans="1:90" x14ac:dyDescent="0.2">
      <c r="A16" s="62">
        <f t="shared" si="0"/>
        <v>8</v>
      </c>
      <c r="B16" s="70" t="s">
        <v>76</v>
      </c>
      <c r="C16" s="83" t="s">
        <v>83</v>
      </c>
      <c r="D16" s="61">
        <v>58</v>
      </c>
      <c r="E16" s="61">
        <v>58</v>
      </c>
      <c r="F16" s="61">
        <v>58</v>
      </c>
      <c r="G16" s="61">
        <v>58</v>
      </c>
      <c r="H16" s="61">
        <v>58</v>
      </c>
      <c r="I16" s="61">
        <v>58</v>
      </c>
      <c r="J16" s="61">
        <v>58</v>
      </c>
      <c r="K16" s="61">
        <v>58</v>
      </c>
      <c r="L16" s="61">
        <v>58</v>
      </c>
      <c r="M16" s="61">
        <v>58</v>
      </c>
      <c r="N16" s="61">
        <v>58</v>
      </c>
      <c r="O16" s="61">
        <v>58</v>
      </c>
      <c r="P16" s="61">
        <v>58</v>
      </c>
      <c r="Q16" s="8"/>
      <c r="R16" s="8"/>
    </row>
    <row r="17" spans="1:18" x14ac:dyDescent="0.2">
      <c r="A17" s="62">
        <f t="shared" si="0"/>
        <v>9</v>
      </c>
      <c r="B17" s="70" t="s">
        <v>77</v>
      </c>
      <c r="C17" s="83" t="s">
        <v>180</v>
      </c>
      <c r="D17" s="61">
        <v>63</v>
      </c>
      <c r="E17" s="61">
        <v>63</v>
      </c>
      <c r="F17" s="61">
        <v>63</v>
      </c>
      <c r="G17" s="61">
        <v>63</v>
      </c>
      <c r="H17" s="61">
        <v>63</v>
      </c>
      <c r="I17" s="61">
        <v>63</v>
      </c>
      <c r="J17" s="61">
        <v>63</v>
      </c>
      <c r="K17" s="61">
        <v>63</v>
      </c>
      <c r="L17" s="61">
        <v>63</v>
      </c>
      <c r="M17" s="61">
        <v>63</v>
      </c>
      <c r="N17" s="61">
        <v>63</v>
      </c>
      <c r="O17" s="61">
        <v>63</v>
      </c>
      <c r="P17" s="61">
        <v>63</v>
      </c>
      <c r="Q17" s="8"/>
      <c r="R17" s="8"/>
    </row>
    <row r="18" spans="1:18" x14ac:dyDescent="0.2">
      <c r="A18" s="62">
        <f t="shared" si="0"/>
        <v>10</v>
      </c>
      <c r="B18" s="70" t="s">
        <v>7</v>
      </c>
      <c r="C18" s="83" t="s">
        <v>25</v>
      </c>
      <c r="D18" s="61">
        <v>27</v>
      </c>
      <c r="E18" s="61">
        <v>27</v>
      </c>
      <c r="F18" s="61">
        <v>27</v>
      </c>
      <c r="G18" s="61">
        <v>27</v>
      </c>
      <c r="H18" s="61">
        <v>27</v>
      </c>
      <c r="I18" s="61">
        <v>27</v>
      </c>
      <c r="J18" s="61">
        <v>27</v>
      </c>
      <c r="K18" s="61">
        <v>27</v>
      </c>
      <c r="L18" s="61">
        <v>27</v>
      </c>
      <c r="M18" s="61">
        <v>27</v>
      </c>
      <c r="N18" s="61">
        <v>27</v>
      </c>
      <c r="O18" s="61">
        <v>27</v>
      </c>
      <c r="P18" s="61">
        <v>27</v>
      </c>
      <c r="Q18" s="8"/>
      <c r="R18" s="8"/>
    </row>
    <row r="19" spans="1:18" x14ac:dyDescent="0.2">
      <c r="A19" s="62">
        <f t="shared" si="0"/>
        <v>11</v>
      </c>
      <c r="B19" s="70" t="s">
        <v>16</v>
      </c>
      <c r="C19" s="83" t="s">
        <v>23</v>
      </c>
      <c r="D19" s="61">
        <v>19</v>
      </c>
      <c r="E19" s="61">
        <v>19</v>
      </c>
      <c r="F19" s="61">
        <v>19</v>
      </c>
      <c r="G19" s="61">
        <v>19</v>
      </c>
      <c r="H19" s="61">
        <v>19</v>
      </c>
      <c r="I19" s="61">
        <v>19</v>
      </c>
      <c r="J19" s="61">
        <v>19</v>
      </c>
      <c r="K19" s="61">
        <v>19</v>
      </c>
      <c r="L19" s="61">
        <v>19</v>
      </c>
      <c r="M19" s="61">
        <v>19</v>
      </c>
      <c r="N19" s="61">
        <v>19</v>
      </c>
      <c r="O19" s="61">
        <v>19</v>
      </c>
      <c r="P19" s="61">
        <v>19</v>
      </c>
      <c r="Q19" s="8"/>
      <c r="R19" s="8"/>
    </row>
    <row r="20" spans="1:18" x14ac:dyDescent="0.2">
      <c r="A20" s="62">
        <f t="shared" si="0"/>
        <v>12</v>
      </c>
      <c r="B20" s="70" t="s">
        <v>78</v>
      </c>
      <c r="C20" s="83" t="s">
        <v>39</v>
      </c>
      <c r="D20" s="61">
        <v>36</v>
      </c>
      <c r="E20" s="61">
        <v>36</v>
      </c>
      <c r="F20" s="61">
        <v>36</v>
      </c>
      <c r="G20" s="61">
        <v>36</v>
      </c>
      <c r="H20" s="61">
        <v>36</v>
      </c>
      <c r="I20" s="61">
        <v>36</v>
      </c>
      <c r="J20" s="61">
        <v>36</v>
      </c>
      <c r="K20" s="61">
        <v>36</v>
      </c>
      <c r="L20" s="61">
        <v>36</v>
      </c>
      <c r="M20" s="61">
        <v>36</v>
      </c>
      <c r="N20" s="61">
        <v>36</v>
      </c>
      <c r="O20" s="61">
        <v>36</v>
      </c>
      <c r="P20" s="61">
        <v>36</v>
      </c>
      <c r="Q20" s="8"/>
      <c r="R20" s="8"/>
    </row>
    <row r="21" spans="1:18" x14ac:dyDescent="0.2">
      <c r="A21" s="62">
        <f t="shared" si="0"/>
        <v>13</v>
      </c>
      <c r="B21" s="70" t="s">
        <v>59</v>
      </c>
      <c r="C21" s="83" t="s">
        <v>34</v>
      </c>
      <c r="D21" s="61">
        <v>16</v>
      </c>
      <c r="E21" s="61">
        <v>16</v>
      </c>
      <c r="F21" s="61">
        <v>16</v>
      </c>
      <c r="G21" s="61">
        <v>16</v>
      </c>
      <c r="H21" s="61">
        <v>16</v>
      </c>
      <c r="I21" s="61">
        <v>16</v>
      </c>
      <c r="J21" s="61">
        <v>16</v>
      </c>
      <c r="K21" s="61">
        <v>16</v>
      </c>
      <c r="L21" s="61">
        <v>16</v>
      </c>
      <c r="M21" s="61">
        <v>16</v>
      </c>
      <c r="N21" s="61">
        <v>16</v>
      </c>
      <c r="O21" s="61">
        <v>16</v>
      </c>
      <c r="P21" s="61">
        <v>16</v>
      </c>
      <c r="Q21" s="8"/>
      <c r="R21" s="8"/>
    </row>
    <row r="22" spans="1:18" x14ac:dyDescent="0.2">
      <c r="A22" s="62">
        <f t="shared" si="0"/>
        <v>14</v>
      </c>
      <c r="B22" s="70" t="s">
        <v>79</v>
      </c>
      <c r="C22" s="83" t="s">
        <v>35</v>
      </c>
      <c r="D22" s="61">
        <v>18</v>
      </c>
      <c r="E22" s="61">
        <v>18</v>
      </c>
      <c r="F22" s="61">
        <v>18</v>
      </c>
      <c r="G22" s="61">
        <v>18</v>
      </c>
      <c r="H22" s="61">
        <v>18</v>
      </c>
      <c r="I22" s="61">
        <v>18</v>
      </c>
      <c r="J22" s="61">
        <v>18</v>
      </c>
      <c r="K22" s="61">
        <v>18</v>
      </c>
      <c r="L22" s="61">
        <v>18</v>
      </c>
      <c r="M22" s="61">
        <v>18</v>
      </c>
      <c r="N22" s="61">
        <v>18</v>
      </c>
      <c r="O22" s="61">
        <v>18</v>
      </c>
      <c r="P22" s="61">
        <v>18</v>
      </c>
      <c r="Q22" s="8"/>
      <c r="R22" s="8"/>
    </row>
    <row r="23" spans="1:18" x14ac:dyDescent="0.2">
      <c r="A23" s="62">
        <f t="shared" si="0"/>
        <v>15</v>
      </c>
      <c r="B23" s="70" t="s">
        <v>80</v>
      </c>
      <c r="C23" s="83" t="s">
        <v>85</v>
      </c>
      <c r="D23" s="61">
        <v>89</v>
      </c>
      <c r="E23" s="61">
        <v>89</v>
      </c>
      <c r="F23" s="61">
        <v>89</v>
      </c>
      <c r="G23" s="61">
        <v>89</v>
      </c>
      <c r="H23" s="61">
        <v>89</v>
      </c>
      <c r="I23" s="61">
        <v>89</v>
      </c>
      <c r="J23" s="61">
        <v>89</v>
      </c>
      <c r="K23" s="61">
        <v>89</v>
      </c>
      <c r="L23" s="61">
        <v>89</v>
      </c>
      <c r="M23" s="61">
        <v>89</v>
      </c>
      <c r="N23" s="61">
        <v>89</v>
      </c>
      <c r="O23" s="61">
        <v>89</v>
      </c>
      <c r="P23" s="61">
        <v>89</v>
      </c>
      <c r="Q23" s="8"/>
      <c r="R23" s="8"/>
    </row>
    <row r="24" spans="1:18" x14ac:dyDescent="0.2">
      <c r="A24" s="62">
        <f t="shared" si="0"/>
        <v>16</v>
      </c>
      <c r="B24" s="70" t="s">
        <v>87</v>
      </c>
      <c r="C24" s="83" t="s">
        <v>22</v>
      </c>
      <c r="D24" s="61">
        <v>56</v>
      </c>
      <c r="E24" s="61">
        <v>56</v>
      </c>
      <c r="F24" s="61">
        <v>56</v>
      </c>
      <c r="G24" s="61">
        <v>56</v>
      </c>
      <c r="H24" s="61">
        <v>56</v>
      </c>
      <c r="I24" s="61">
        <v>56</v>
      </c>
      <c r="J24" s="61">
        <v>56</v>
      </c>
      <c r="K24" s="61">
        <v>56</v>
      </c>
      <c r="L24" s="61">
        <v>56</v>
      </c>
      <c r="M24" s="61">
        <v>56</v>
      </c>
      <c r="N24" s="61">
        <v>56</v>
      </c>
      <c r="O24" s="61">
        <v>56</v>
      </c>
      <c r="P24" s="61">
        <v>56</v>
      </c>
      <c r="Q24" s="8"/>
      <c r="R24" s="8"/>
    </row>
    <row r="25" spans="1:18" x14ac:dyDescent="0.2">
      <c r="A25" s="79">
        <f t="shared" si="0"/>
        <v>17</v>
      </c>
      <c r="B25" s="70" t="s">
        <v>17</v>
      </c>
      <c r="C25" s="83" t="s">
        <v>19</v>
      </c>
      <c r="D25" s="61">
        <v>4</v>
      </c>
      <c r="E25" s="61">
        <v>4</v>
      </c>
      <c r="F25" s="61">
        <v>4</v>
      </c>
      <c r="G25" s="61">
        <v>4</v>
      </c>
      <c r="H25" s="61">
        <v>4</v>
      </c>
      <c r="I25" s="61">
        <v>4</v>
      </c>
      <c r="J25" s="61">
        <v>4</v>
      </c>
      <c r="K25" s="61">
        <v>4</v>
      </c>
      <c r="L25" s="61">
        <v>4</v>
      </c>
      <c r="M25" s="61">
        <v>4</v>
      </c>
      <c r="N25" s="61">
        <v>4</v>
      </c>
      <c r="O25" s="61">
        <v>4</v>
      </c>
      <c r="P25" s="61">
        <v>4</v>
      </c>
      <c r="Q25" s="8"/>
      <c r="R25" s="8"/>
    </row>
    <row r="26" spans="1:18" x14ac:dyDescent="0.2">
      <c r="A26" s="62">
        <f t="shared" si="0"/>
        <v>18</v>
      </c>
      <c r="B26" s="70" t="s">
        <v>91</v>
      </c>
      <c r="C26" s="83" t="s">
        <v>27</v>
      </c>
      <c r="D26" s="61">
        <v>37</v>
      </c>
      <c r="E26" s="61">
        <v>37</v>
      </c>
      <c r="F26" s="61">
        <v>37</v>
      </c>
      <c r="G26" s="61">
        <v>37</v>
      </c>
      <c r="H26" s="61">
        <v>37</v>
      </c>
      <c r="I26" s="61">
        <v>37</v>
      </c>
      <c r="J26" s="61">
        <v>37</v>
      </c>
      <c r="K26" s="61">
        <v>37</v>
      </c>
      <c r="L26" s="61">
        <v>37</v>
      </c>
      <c r="M26" s="61">
        <v>37</v>
      </c>
      <c r="N26" s="61">
        <v>37</v>
      </c>
      <c r="O26" s="61">
        <v>37</v>
      </c>
      <c r="P26" s="61">
        <v>37</v>
      </c>
      <c r="Q26" s="8"/>
      <c r="R26" s="8"/>
    </row>
    <row r="27" spans="1:18" x14ac:dyDescent="0.2">
      <c r="A27" s="62">
        <f t="shared" si="0"/>
        <v>19</v>
      </c>
      <c r="B27" s="70" t="s">
        <v>186</v>
      </c>
      <c r="C27" s="83" t="s">
        <v>32</v>
      </c>
      <c r="D27" s="61">
        <v>57</v>
      </c>
      <c r="E27" s="61">
        <v>57</v>
      </c>
      <c r="F27" s="61">
        <v>57</v>
      </c>
      <c r="G27" s="61">
        <v>57</v>
      </c>
      <c r="H27" s="61">
        <v>57</v>
      </c>
      <c r="I27" s="61">
        <v>57</v>
      </c>
      <c r="J27" s="61">
        <v>57</v>
      </c>
      <c r="K27" s="61">
        <v>57</v>
      </c>
      <c r="L27" s="61">
        <v>57</v>
      </c>
      <c r="M27" s="61">
        <v>57</v>
      </c>
      <c r="N27" s="61">
        <v>57</v>
      </c>
      <c r="O27" s="61">
        <v>57</v>
      </c>
      <c r="P27" s="61">
        <v>57</v>
      </c>
      <c r="Q27" s="8"/>
      <c r="R27" s="8"/>
    </row>
    <row r="28" spans="1:18" x14ac:dyDescent="0.2">
      <c r="A28" s="62">
        <f t="shared" si="0"/>
        <v>20</v>
      </c>
      <c r="B28" s="70" t="s">
        <v>95</v>
      </c>
      <c r="C28" s="83" t="s">
        <v>45</v>
      </c>
      <c r="D28" s="61">
        <v>47</v>
      </c>
      <c r="E28" s="61">
        <v>47</v>
      </c>
      <c r="F28" s="61">
        <v>47</v>
      </c>
      <c r="G28" s="61">
        <v>47</v>
      </c>
      <c r="H28" s="61">
        <v>47</v>
      </c>
      <c r="I28" s="61">
        <v>47</v>
      </c>
      <c r="J28" s="61">
        <v>47</v>
      </c>
      <c r="K28" s="61">
        <v>47</v>
      </c>
      <c r="L28" s="61">
        <v>47</v>
      </c>
      <c r="M28" s="61">
        <v>47</v>
      </c>
      <c r="N28" s="61">
        <v>47</v>
      </c>
      <c r="O28" s="61">
        <v>47</v>
      </c>
      <c r="P28" s="61">
        <v>47</v>
      </c>
      <c r="Q28" s="8"/>
      <c r="R28" s="8"/>
    </row>
    <row r="29" spans="1:18" ht="15" customHeight="1" x14ac:dyDescent="0.2">
      <c r="A29" s="62">
        <f t="shared" si="0"/>
        <v>21</v>
      </c>
      <c r="B29" s="70" t="s">
        <v>124</v>
      </c>
      <c r="C29" s="83" t="s">
        <v>48</v>
      </c>
      <c r="D29" s="61">
        <v>64</v>
      </c>
      <c r="E29" s="61">
        <v>64</v>
      </c>
      <c r="F29" s="61">
        <v>64</v>
      </c>
      <c r="G29" s="61">
        <v>64</v>
      </c>
      <c r="H29" s="61">
        <v>64</v>
      </c>
      <c r="I29" s="61">
        <v>64</v>
      </c>
      <c r="J29" s="61">
        <v>64</v>
      </c>
      <c r="K29" s="61">
        <v>64</v>
      </c>
      <c r="L29" s="61">
        <v>64</v>
      </c>
      <c r="M29" s="61">
        <v>64</v>
      </c>
      <c r="N29" s="61">
        <v>64</v>
      </c>
      <c r="O29" s="61">
        <v>64</v>
      </c>
      <c r="P29" s="61">
        <v>64</v>
      </c>
      <c r="Q29" s="8"/>
      <c r="R29" s="8"/>
    </row>
    <row r="30" spans="1:18" x14ac:dyDescent="0.2">
      <c r="A30" s="62">
        <f t="shared" si="0"/>
        <v>22</v>
      </c>
      <c r="B30" s="70" t="s">
        <v>187</v>
      </c>
      <c r="C30" s="83" t="s">
        <v>24</v>
      </c>
      <c r="D30" s="61">
        <v>25</v>
      </c>
      <c r="E30" s="61">
        <v>25</v>
      </c>
      <c r="F30" s="61">
        <v>25</v>
      </c>
      <c r="G30" s="61">
        <v>25</v>
      </c>
      <c r="H30" s="61">
        <v>25</v>
      </c>
      <c r="I30" s="61">
        <v>25</v>
      </c>
      <c r="J30" s="61">
        <v>25</v>
      </c>
      <c r="K30" s="61">
        <v>25</v>
      </c>
      <c r="L30" s="61">
        <v>25</v>
      </c>
      <c r="M30" s="61">
        <v>25</v>
      </c>
      <c r="N30" s="61">
        <v>25</v>
      </c>
      <c r="O30" s="61">
        <v>25</v>
      </c>
      <c r="P30" s="61">
        <v>25</v>
      </c>
      <c r="Q30" s="8"/>
      <c r="R30" s="8"/>
    </row>
    <row r="31" spans="1:18" x14ac:dyDescent="0.2">
      <c r="A31" s="62">
        <f t="shared" si="0"/>
        <v>23</v>
      </c>
      <c r="B31" s="70" t="s">
        <v>188</v>
      </c>
      <c r="C31" s="83" t="s">
        <v>134</v>
      </c>
      <c r="D31" s="61">
        <v>78</v>
      </c>
      <c r="E31" s="61">
        <v>78</v>
      </c>
      <c r="F31" s="61">
        <v>78</v>
      </c>
      <c r="G31" s="61">
        <v>78</v>
      </c>
      <c r="H31" s="61">
        <v>78</v>
      </c>
      <c r="I31" s="61">
        <v>78</v>
      </c>
      <c r="J31" s="61">
        <v>78</v>
      </c>
      <c r="K31" s="61">
        <v>78</v>
      </c>
      <c r="L31" s="61">
        <v>78</v>
      </c>
      <c r="M31" s="61">
        <v>78</v>
      </c>
      <c r="N31" s="61">
        <v>78</v>
      </c>
      <c r="O31" s="61">
        <v>78</v>
      </c>
      <c r="P31" s="61">
        <v>78</v>
      </c>
      <c r="Q31" s="8"/>
      <c r="R31" s="8"/>
    </row>
    <row r="32" spans="1:18" x14ac:dyDescent="0.2">
      <c r="A32" s="62">
        <f t="shared" si="0"/>
        <v>24</v>
      </c>
      <c r="B32" s="70" t="s">
        <v>189</v>
      </c>
      <c r="C32" s="83" t="s">
        <v>190</v>
      </c>
      <c r="D32" s="61">
        <v>25</v>
      </c>
      <c r="E32" s="61">
        <v>25</v>
      </c>
      <c r="F32" s="61">
        <v>25</v>
      </c>
      <c r="G32" s="61">
        <v>25</v>
      </c>
      <c r="H32" s="61">
        <v>25</v>
      </c>
      <c r="I32" s="61">
        <v>25</v>
      </c>
      <c r="J32" s="61">
        <v>25</v>
      </c>
      <c r="K32" s="61">
        <v>25</v>
      </c>
      <c r="L32" s="61">
        <v>25</v>
      </c>
      <c r="M32" s="61">
        <v>25</v>
      </c>
      <c r="N32" s="61">
        <v>25</v>
      </c>
      <c r="O32" s="61">
        <v>25</v>
      </c>
      <c r="P32" s="61">
        <v>25</v>
      </c>
      <c r="Q32" s="8"/>
      <c r="R32" s="8"/>
    </row>
    <row r="33" spans="1:18" x14ac:dyDescent="0.2">
      <c r="A33" s="62">
        <v>25</v>
      </c>
      <c r="B33" s="84" t="s">
        <v>128</v>
      </c>
      <c r="C33" s="64" t="s">
        <v>84</v>
      </c>
      <c r="D33" s="61">
        <v>81</v>
      </c>
      <c r="E33" s="61">
        <v>81</v>
      </c>
      <c r="F33" s="61">
        <v>81</v>
      </c>
      <c r="G33" s="61">
        <v>81</v>
      </c>
      <c r="H33" s="61">
        <v>81</v>
      </c>
      <c r="I33" s="61">
        <v>81</v>
      </c>
      <c r="J33" s="61">
        <v>81</v>
      </c>
      <c r="K33" s="61">
        <v>81</v>
      </c>
      <c r="L33" s="61">
        <v>81</v>
      </c>
      <c r="M33" s="61">
        <v>81</v>
      </c>
      <c r="N33" s="61">
        <v>81</v>
      </c>
      <c r="O33" s="61">
        <v>81</v>
      </c>
      <c r="P33" s="61">
        <v>81</v>
      </c>
      <c r="Q33" s="8"/>
      <c r="R33" s="10"/>
    </row>
    <row r="34" spans="1:18" x14ac:dyDescent="0.2">
      <c r="A34" s="62">
        <v>26</v>
      </c>
      <c r="B34" s="65" t="s">
        <v>202</v>
      </c>
      <c r="C34" s="65" t="s">
        <v>203</v>
      </c>
      <c r="D34" s="8">
        <v>60</v>
      </c>
      <c r="E34" s="8">
        <v>60</v>
      </c>
      <c r="F34" s="8">
        <v>60</v>
      </c>
      <c r="G34" s="8">
        <v>60</v>
      </c>
      <c r="H34" s="8">
        <v>60</v>
      </c>
      <c r="I34" s="8">
        <v>60</v>
      </c>
      <c r="J34" s="8">
        <v>60</v>
      </c>
      <c r="K34" s="8">
        <v>60</v>
      </c>
      <c r="L34" s="8">
        <v>60</v>
      </c>
      <c r="M34" s="8">
        <v>60</v>
      </c>
      <c r="N34" s="8">
        <v>60</v>
      </c>
      <c r="O34" s="8">
        <v>60</v>
      </c>
      <c r="P34" s="8">
        <v>60</v>
      </c>
      <c r="Q34" s="8"/>
      <c r="R34" s="10"/>
    </row>
    <row r="35" spans="1:18" x14ac:dyDescent="0.2">
      <c r="A35" s="35"/>
      <c r="B35" s="13"/>
      <c r="C35" s="3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  <c r="R35" s="10"/>
    </row>
    <row r="36" spans="1:18" x14ac:dyDescent="0.2">
      <c r="A36" s="35"/>
      <c r="B36" s="64"/>
      <c r="C36" s="3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10"/>
    </row>
    <row r="37" spans="1:18" x14ac:dyDescent="0.2">
      <c r="A37" s="35"/>
      <c r="B37" s="13"/>
      <c r="C37" s="3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10"/>
    </row>
    <row r="38" spans="1:18" ht="11.25" customHeight="1" x14ac:dyDescent="0.2">
      <c r="A38" s="35"/>
      <c r="B38" s="13"/>
      <c r="C38" s="3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  <c r="R38" s="10"/>
    </row>
    <row r="39" spans="1:18" x14ac:dyDescent="0.2">
      <c r="A39" s="35"/>
      <c r="B39" s="14"/>
      <c r="C39" s="3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10"/>
    </row>
    <row r="40" spans="1:18" x14ac:dyDescent="0.2">
      <c r="A40" s="35"/>
      <c r="B40" s="14"/>
      <c r="C40" s="3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9"/>
      <c r="R40" s="10"/>
    </row>
    <row r="41" spans="1:18" x14ac:dyDescent="0.2">
      <c r="A41" s="35"/>
      <c r="B41" s="15"/>
      <c r="C41" s="3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10"/>
    </row>
    <row r="42" spans="1:18" x14ac:dyDescent="0.2">
      <c r="A42" s="35"/>
      <c r="B42" s="13"/>
      <c r="C42" s="3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10"/>
    </row>
    <row r="43" spans="1:18" x14ac:dyDescent="0.2">
      <c r="A43" s="35"/>
      <c r="B43" s="13"/>
      <c r="C43" s="3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10"/>
    </row>
    <row r="44" spans="1:18" x14ac:dyDescent="0.2">
      <c r="A44" s="35"/>
      <c r="B44" s="13"/>
      <c r="C44" s="3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10"/>
    </row>
    <row r="45" spans="1:18" x14ac:dyDescent="0.2">
      <c r="A45" s="35"/>
      <c r="B45" s="16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</row>
    <row r="46" spans="1:18" ht="15" x14ac:dyDescent="0.25">
      <c r="A46" s="35"/>
      <c r="B46" s="59"/>
      <c r="C46" s="60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</row>
    <row r="47" spans="1:18" x14ac:dyDescent="0.2">
      <c r="A47" s="35"/>
      <c r="B47" s="121" t="s">
        <v>64</v>
      </c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</row>
    <row r="48" spans="1:18" ht="68.25" customHeight="1" x14ac:dyDescent="0.2">
      <c r="A48" s="58" t="s">
        <v>67</v>
      </c>
      <c r="B48" s="121" t="s">
        <v>62</v>
      </c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</row>
    <row r="49" spans="1:1" x14ac:dyDescent="0.2">
      <c r="A49" s="55"/>
    </row>
    <row r="50" spans="1:1" x14ac:dyDescent="0.2">
      <c r="A50" s="55"/>
    </row>
  </sheetData>
  <mergeCells count="21">
    <mergeCell ref="B48:R48"/>
    <mergeCell ref="R7:R8"/>
    <mergeCell ref="B47:R47"/>
    <mergeCell ref="B5:B8"/>
    <mergeCell ref="M5:P5"/>
    <mergeCell ref="Q5:Q6"/>
    <mergeCell ref="R5:R6"/>
    <mergeCell ref="D5:F5"/>
    <mergeCell ref="G5:I5"/>
    <mergeCell ref="J5:L5"/>
    <mergeCell ref="A5:A8"/>
    <mergeCell ref="B4:M4"/>
    <mergeCell ref="P4:R4"/>
    <mergeCell ref="C3:R3"/>
    <mergeCell ref="BW1:CL1"/>
    <mergeCell ref="B2:R2"/>
    <mergeCell ref="B1:R1"/>
    <mergeCell ref="S1:AL1"/>
    <mergeCell ref="AM1:BF1"/>
    <mergeCell ref="BG1:BV1"/>
    <mergeCell ref="N4:O4"/>
  </mergeCells>
  <phoneticPr fontId="7" type="noConversion"/>
  <printOptions horizontalCentered="1" verticalCentered="1"/>
  <pageMargins left="0.25" right="0" top="0.75" bottom="0.5" header="0.3" footer="0.3"/>
  <pageSetup paperSize="9" orientation="portrait" r:id="rId1"/>
  <colBreaks count="4" manualBreakCount="4">
    <brk id="18" max="1048575" man="1"/>
    <brk id="38" max="1048575" man="1"/>
    <brk id="58" max="1048575" man="1"/>
    <brk id="74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48"/>
  <sheetViews>
    <sheetView topLeftCell="A14" zoomScaleNormal="100" workbookViewId="0">
      <selection activeCell="H25" sqref="H25"/>
    </sheetView>
  </sheetViews>
  <sheetFormatPr defaultRowHeight="12.75" x14ac:dyDescent="0.2"/>
  <cols>
    <col min="1" max="1" width="5" style="56" customWidth="1"/>
    <col min="2" max="2" width="15.28515625" bestFit="1" customWidth="1"/>
    <col min="3" max="3" width="8.140625" bestFit="1" customWidth="1"/>
    <col min="4" max="4" width="4.85546875" customWidth="1"/>
    <col min="5" max="5" width="4" customWidth="1"/>
    <col min="6" max="6" width="4.42578125" customWidth="1"/>
    <col min="7" max="8" width="4" customWidth="1"/>
    <col min="9" max="10" width="3.42578125" customWidth="1"/>
    <col min="11" max="12" width="4" customWidth="1"/>
    <col min="13" max="13" width="4.5703125" customWidth="1"/>
    <col min="14" max="14" width="3.7109375" customWidth="1"/>
    <col min="15" max="16" width="4.140625" customWidth="1"/>
    <col min="17" max="17" width="4.7109375" customWidth="1"/>
    <col min="18" max="18" width="4.140625" customWidth="1"/>
    <col min="19" max="19" width="20" customWidth="1"/>
    <col min="20" max="20" width="6.85546875" customWidth="1"/>
    <col min="21" max="21" width="2.7109375" customWidth="1"/>
    <col min="22" max="22" width="3.28515625" customWidth="1"/>
    <col min="23" max="23" width="3" customWidth="1"/>
    <col min="24" max="32" width="3.5703125" customWidth="1"/>
    <col min="33" max="36" width="3.7109375" customWidth="1"/>
    <col min="37" max="37" width="4.7109375" customWidth="1"/>
    <col min="38" max="38" width="4.42578125" customWidth="1"/>
    <col min="39" max="39" width="15.85546875" customWidth="1"/>
    <col min="40" max="40" width="6.85546875" customWidth="1"/>
    <col min="41" max="52" width="3.42578125" customWidth="1"/>
    <col min="53" max="56" width="3.7109375" customWidth="1"/>
    <col min="57" max="57" width="4.7109375" customWidth="1"/>
    <col min="58" max="58" width="4.42578125" customWidth="1"/>
    <col min="59" max="59" width="16.28515625" customWidth="1"/>
    <col min="60" max="60" width="6.5703125" customWidth="1"/>
    <col min="61" max="69" width="3.140625" customWidth="1"/>
    <col min="70" max="72" width="3.7109375" customWidth="1"/>
    <col min="73" max="73" width="4.7109375" customWidth="1"/>
    <col min="74" max="74" width="4.42578125" customWidth="1"/>
    <col min="75" max="75" width="16" customWidth="1"/>
    <col min="76" max="76" width="6.5703125" customWidth="1"/>
    <col min="77" max="85" width="3.28515625" customWidth="1"/>
    <col min="86" max="88" width="3.7109375" customWidth="1"/>
    <col min="89" max="89" width="4.7109375" customWidth="1"/>
    <col min="90" max="90" width="4.42578125" customWidth="1"/>
  </cols>
  <sheetData>
    <row r="1" spans="1:18" x14ac:dyDescent="0.2">
      <c r="A1" s="35"/>
      <c r="B1" s="118" t="s">
        <v>50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</row>
    <row r="2" spans="1:18" x14ac:dyDescent="0.2">
      <c r="A2" s="35"/>
      <c r="B2" s="118" t="s">
        <v>122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</row>
    <row r="3" spans="1:18" x14ac:dyDescent="0.2">
      <c r="A3" s="35"/>
      <c r="B3" s="18" t="s">
        <v>66</v>
      </c>
      <c r="C3" s="113" t="s">
        <v>57</v>
      </c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5"/>
    </row>
    <row r="4" spans="1:18" x14ac:dyDescent="0.2">
      <c r="A4" s="35"/>
      <c r="B4" s="109" t="s">
        <v>58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2" t="s">
        <v>8</v>
      </c>
      <c r="O4" s="12"/>
      <c r="P4" s="111"/>
      <c r="Q4" s="111"/>
      <c r="R4" s="112"/>
    </row>
    <row r="5" spans="1:18" x14ac:dyDescent="0.2">
      <c r="A5" s="106" t="s">
        <v>65</v>
      </c>
      <c r="B5" s="106" t="s">
        <v>1</v>
      </c>
      <c r="C5" s="11" t="s">
        <v>10</v>
      </c>
      <c r="D5" s="122">
        <v>1</v>
      </c>
      <c r="E5" s="111"/>
      <c r="F5" s="111"/>
      <c r="G5" s="122">
        <v>2</v>
      </c>
      <c r="H5" s="111"/>
      <c r="I5" s="111"/>
      <c r="J5" s="122">
        <v>3</v>
      </c>
      <c r="K5" s="111"/>
      <c r="L5" s="111"/>
      <c r="M5" s="122">
        <v>4</v>
      </c>
      <c r="N5" s="111"/>
      <c r="O5" s="111"/>
      <c r="P5" s="112"/>
      <c r="Q5" s="118" t="s">
        <v>0</v>
      </c>
      <c r="R5" s="118" t="s">
        <v>3</v>
      </c>
    </row>
    <row r="6" spans="1:18" x14ac:dyDescent="0.2">
      <c r="A6" s="107"/>
      <c r="B6" s="107"/>
      <c r="C6" s="7" t="s">
        <v>9</v>
      </c>
      <c r="D6" s="7"/>
      <c r="E6" s="7"/>
      <c r="F6" s="7"/>
      <c r="G6" s="7"/>
      <c r="H6" s="7"/>
      <c r="I6" s="7"/>
      <c r="J6" s="7"/>
      <c r="K6" s="7"/>
      <c r="L6" s="7"/>
      <c r="M6" s="8"/>
      <c r="N6" s="8"/>
      <c r="O6" s="8"/>
      <c r="P6" s="8"/>
      <c r="Q6" s="118"/>
      <c r="R6" s="118"/>
    </row>
    <row r="7" spans="1:18" x14ac:dyDescent="0.2">
      <c r="A7" s="107"/>
      <c r="B7" s="107"/>
      <c r="C7" s="8" t="s">
        <v>4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06"/>
    </row>
    <row r="8" spans="1:18" x14ac:dyDescent="0.2">
      <c r="A8" s="108"/>
      <c r="B8" s="107"/>
      <c r="C8" s="9" t="s">
        <v>5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107"/>
    </row>
    <row r="9" spans="1:18" x14ac:dyDescent="0.2">
      <c r="A9" s="62">
        <v>1</v>
      </c>
      <c r="B9" s="70" t="s">
        <v>33</v>
      </c>
      <c r="C9" s="70" t="s">
        <v>44</v>
      </c>
      <c r="D9" s="61">
        <v>45</v>
      </c>
      <c r="E9" s="8">
        <v>45</v>
      </c>
      <c r="F9" s="8">
        <v>45</v>
      </c>
      <c r="G9" s="8">
        <v>45</v>
      </c>
      <c r="H9" s="8">
        <v>45</v>
      </c>
      <c r="I9" s="8">
        <v>45</v>
      </c>
      <c r="J9" s="8">
        <v>45</v>
      </c>
      <c r="K9" s="8">
        <v>45</v>
      </c>
      <c r="L9" s="8">
        <v>45</v>
      </c>
      <c r="M9" s="8">
        <v>45</v>
      </c>
      <c r="N9" s="8">
        <v>45</v>
      </c>
      <c r="O9" s="8">
        <v>45</v>
      </c>
      <c r="P9" s="8">
        <v>45</v>
      </c>
      <c r="Q9" s="8"/>
      <c r="R9" s="8"/>
    </row>
    <row r="10" spans="1:18" x14ac:dyDescent="0.2">
      <c r="A10" s="62">
        <f>A9+1</f>
        <v>2</v>
      </c>
      <c r="B10" s="70" t="s">
        <v>86</v>
      </c>
      <c r="C10" s="70" t="s">
        <v>31</v>
      </c>
      <c r="D10" s="61">
        <v>53</v>
      </c>
      <c r="E10" s="8">
        <v>53</v>
      </c>
      <c r="F10" s="8">
        <v>53</v>
      </c>
      <c r="G10" s="8">
        <v>53</v>
      </c>
      <c r="H10" s="8">
        <v>53</v>
      </c>
      <c r="I10" s="8">
        <v>53</v>
      </c>
      <c r="J10" s="8">
        <v>53</v>
      </c>
      <c r="K10" s="8">
        <v>53</v>
      </c>
      <c r="L10" s="8">
        <v>53</v>
      </c>
      <c r="M10" s="8">
        <v>53</v>
      </c>
      <c r="N10" s="8">
        <v>53</v>
      </c>
      <c r="O10" s="8">
        <v>53</v>
      </c>
      <c r="P10" s="8">
        <v>53</v>
      </c>
      <c r="Q10" s="8"/>
      <c r="R10" s="8"/>
    </row>
    <row r="11" spans="1:18" x14ac:dyDescent="0.2">
      <c r="A11" s="62">
        <f t="shared" ref="A11:A26" si="0">A10+1</f>
        <v>3</v>
      </c>
      <c r="B11" s="70" t="s">
        <v>87</v>
      </c>
      <c r="C11" s="70" t="s">
        <v>22</v>
      </c>
      <c r="D11" s="61">
        <v>56</v>
      </c>
      <c r="E11" s="8">
        <v>56</v>
      </c>
      <c r="F11" s="8">
        <v>56</v>
      </c>
      <c r="G11" s="8">
        <v>56</v>
      </c>
      <c r="H11" s="8">
        <v>56</v>
      </c>
      <c r="I11" s="8">
        <v>56</v>
      </c>
      <c r="J11" s="8">
        <v>56</v>
      </c>
      <c r="K11" s="8">
        <v>56</v>
      </c>
      <c r="L11" s="8">
        <v>56</v>
      </c>
      <c r="M11" s="8">
        <v>56</v>
      </c>
      <c r="N11" s="8">
        <v>56</v>
      </c>
      <c r="O11" s="8">
        <v>56</v>
      </c>
      <c r="P11" s="8">
        <v>56</v>
      </c>
      <c r="Q11" s="8"/>
      <c r="R11" s="8"/>
    </row>
    <row r="12" spans="1:18" x14ac:dyDescent="0.2">
      <c r="A12" s="62">
        <f t="shared" si="0"/>
        <v>4</v>
      </c>
      <c r="B12" s="70" t="s">
        <v>17</v>
      </c>
      <c r="C12" s="70" t="s">
        <v>19</v>
      </c>
      <c r="D12" s="61">
        <v>4</v>
      </c>
      <c r="E12" s="61">
        <v>4</v>
      </c>
      <c r="F12" s="61">
        <v>4</v>
      </c>
      <c r="G12" s="61">
        <v>4</v>
      </c>
      <c r="H12" s="61">
        <v>4</v>
      </c>
      <c r="I12" s="61">
        <v>4</v>
      </c>
      <c r="J12" s="61">
        <v>4</v>
      </c>
      <c r="K12" s="61">
        <v>4</v>
      </c>
      <c r="L12" s="61">
        <v>4</v>
      </c>
      <c r="M12" s="61">
        <v>4</v>
      </c>
      <c r="N12" s="61">
        <v>4</v>
      </c>
      <c r="O12" s="61">
        <v>4</v>
      </c>
      <c r="P12" s="61">
        <v>4</v>
      </c>
      <c r="Q12" s="8"/>
      <c r="R12" s="8"/>
    </row>
    <row r="13" spans="1:18" x14ac:dyDescent="0.2">
      <c r="A13" s="62">
        <f t="shared" si="0"/>
        <v>5</v>
      </c>
      <c r="B13" s="70" t="s">
        <v>89</v>
      </c>
      <c r="C13" s="70" t="s">
        <v>21</v>
      </c>
      <c r="D13" s="61">
        <v>54</v>
      </c>
      <c r="E13" s="61">
        <v>54</v>
      </c>
      <c r="F13" s="61">
        <v>54</v>
      </c>
      <c r="G13" s="61">
        <v>54</v>
      </c>
      <c r="H13" s="61">
        <v>54</v>
      </c>
      <c r="I13" s="61">
        <v>54</v>
      </c>
      <c r="J13" s="61">
        <v>54</v>
      </c>
      <c r="K13" s="61">
        <v>54</v>
      </c>
      <c r="L13" s="61">
        <v>54</v>
      </c>
      <c r="M13" s="61">
        <v>54</v>
      </c>
      <c r="N13" s="61">
        <v>54</v>
      </c>
      <c r="O13" s="61">
        <v>54</v>
      </c>
      <c r="P13" s="61">
        <v>54</v>
      </c>
      <c r="Q13" s="8"/>
      <c r="R13" s="8"/>
    </row>
    <row r="14" spans="1:18" x14ac:dyDescent="0.2">
      <c r="A14" s="62">
        <f t="shared" si="0"/>
        <v>6</v>
      </c>
      <c r="B14" s="70" t="s">
        <v>90</v>
      </c>
      <c r="C14" s="70" t="s">
        <v>18</v>
      </c>
      <c r="D14" s="61">
        <v>2</v>
      </c>
      <c r="E14" s="61">
        <v>2</v>
      </c>
      <c r="F14" s="61">
        <v>2</v>
      </c>
      <c r="G14" s="61">
        <v>2</v>
      </c>
      <c r="H14" s="61">
        <v>2</v>
      </c>
      <c r="I14" s="61">
        <v>2</v>
      </c>
      <c r="J14" s="61">
        <v>2</v>
      </c>
      <c r="K14" s="61">
        <v>2</v>
      </c>
      <c r="L14" s="61">
        <v>2</v>
      </c>
      <c r="M14" s="61">
        <v>2</v>
      </c>
      <c r="N14" s="61">
        <v>2</v>
      </c>
      <c r="O14" s="61">
        <v>2</v>
      </c>
      <c r="P14" s="61">
        <v>2</v>
      </c>
      <c r="Q14" s="8"/>
      <c r="R14" s="8"/>
    </row>
    <row r="15" spans="1:18" x14ac:dyDescent="0.2">
      <c r="A15" s="62">
        <f t="shared" si="0"/>
        <v>7</v>
      </c>
      <c r="B15" s="70" t="s">
        <v>91</v>
      </c>
      <c r="C15" s="70" t="s">
        <v>27</v>
      </c>
      <c r="D15" s="63">
        <v>37</v>
      </c>
      <c r="E15" s="63">
        <v>37</v>
      </c>
      <c r="F15" s="63">
        <v>37</v>
      </c>
      <c r="G15" s="63">
        <v>37</v>
      </c>
      <c r="H15" s="63">
        <v>37</v>
      </c>
      <c r="I15" s="63">
        <v>37</v>
      </c>
      <c r="J15" s="63">
        <v>37</v>
      </c>
      <c r="K15" s="63">
        <v>37</v>
      </c>
      <c r="L15" s="63">
        <v>37</v>
      </c>
      <c r="M15" s="63">
        <v>37</v>
      </c>
      <c r="N15" s="63">
        <v>37</v>
      </c>
      <c r="O15" s="63">
        <v>37</v>
      </c>
      <c r="P15" s="63">
        <v>37</v>
      </c>
      <c r="Q15" s="8"/>
      <c r="R15" s="8"/>
    </row>
    <row r="16" spans="1:18" x14ac:dyDescent="0.2">
      <c r="A16" s="62">
        <f t="shared" si="0"/>
        <v>8</v>
      </c>
      <c r="B16" s="70" t="s">
        <v>92</v>
      </c>
      <c r="C16" s="70" t="s">
        <v>36</v>
      </c>
      <c r="D16" s="61">
        <v>28</v>
      </c>
      <c r="E16" s="61">
        <v>28</v>
      </c>
      <c r="F16" s="61">
        <v>28</v>
      </c>
      <c r="G16" s="61">
        <v>28</v>
      </c>
      <c r="H16" s="61">
        <v>28</v>
      </c>
      <c r="I16" s="61">
        <v>28</v>
      </c>
      <c r="J16" s="61">
        <v>28</v>
      </c>
      <c r="K16" s="61">
        <v>28</v>
      </c>
      <c r="L16" s="61">
        <v>28</v>
      </c>
      <c r="M16" s="61">
        <v>28</v>
      </c>
      <c r="N16" s="61">
        <v>28</v>
      </c>
      <c r="O16" s="61">
        <v>28</v>
      </c>
      <c r="P16" s="61">
        <v>28</v>
      </c>
      <c r="Q16" s="8"/>
      <c r="R16" s="8"/>
    </row>
    <row r="17" spans="1:18" x14ac:dyDescent="0.2">
      <c r="A17" s="62">
        <f t="shared" si="0"/>
        <v>9</v>
      </c>
      <c r="B17" s="70" t="s">
        <v>93</v>
      </c>
      <c r="C17" s="70" t="s">
        <v>20</v>
      </c>
      <c r="D17" s="61">
        <v>44</v>
      </c>
      <c r="E17" s="61">
        <v>44</v>
      </c>
      <c r="F17" s="61">
        <v>44</v>
      </c>
      <c r="G17" s="61">
        <v>44</v>
      </c>
      <c r="H17" s="61">
        <v>44</v>
      </c>
      <c r="I17" s="61">
        <v>44</v>
      </c>
      <c r="J17" s="61">
        <v>44</v>
      </c>
      <c r="K17" s="61">
        <v>44</v>
      </c>
      <c r="L17" s="61">
        <v>44</v>
      </c>
      <c r="M17" s="61">
        <v>44</v>
      </c>
      <c r="N17" s="61">
        <v>44</v>
      </c>
      <c r="O17" s="61">
        <v>44</v>
      </c>
      <c r="P17" s="61">
        <v>44</v>
      </c>
      <c r="Q17" s="8"/>
      <c r="R17" s="8"/>
    </row>
    <row r="18" spans="1:18" x14ac:dyDescent="0.2">
      <c r="A18" s="62">
        <f t="shared" si="0"/>
        <v>10</v>
      </c>
      <c r="B18" s="70" t="s">
        <v>192</v>
      </c>
      <c r="C18" s="70" t="s">
        <v>32</v>
      </c>
      <c r="D18" s="61">
        <v>57</v>
      </c>
      <c r="E18" s="61">
        <v>57</v>
      </c>
      <c r="F18" s="61">
        <v>57</v>
      </c>
      <c r="G18" s="61">
        <v>57</v>
      </c>
      <c r="H18" s="61">
        <v>57</v>
      </c>
      <c r="I18" s="61">
        <v>57</v>
      </c>
      <c r="J18" s="61">
        <v>57</v>
      </c>
      <c r="K18" s="61">
        <v>57</v>
      </c>
      <c r="L18" s="61">
        <v>57</v>
      </c>
      <c r="M18" s="61">
        <v>57</v>
      </c>
      <c r="N18" s="61">
        <v>57</v>
      </c>
      <c r="O18" s="61">
        <v>57</v>
      </c>
      <c r="P18" s="61">
        <v>57</v>
      </c>
      <c r="Q18" s="8"/>
      <c r="R18" s="8"/>
    </row>
    <row r="19" spans="1:18" x14ac:dyDescent="0.2">
      <c r="A19" s="62">
        <f t="shared" si="0"/>
        <v>11</v>
      </c>
      <c r="B19" s="70" t="s">
        <v>94</v>
      </c>
      <c r="C19" s="70" t="s">
        <v>37</v>
      </c>
      <c r="D19" s="61">
        <v>30</v>
      </c>
      <c r="E19" s="61">
        <v>30</v>
      </c>
      <c r="F19" s="61">
        <v>30</v>
      </c>
      <c r="G19" s="61">
        <v>30</v>
      </c>
      <c r="H19" s="61">
        <v>30</v>
      </c>
      <c r="I19" s="61">
        <v>30</v>
      </c>
      <c r="J19" s="61">
        <v>30</v>
      </c>
      <c r="K19" s="61">
        <v>30</v>
      </c>
      <c r="L19" s="61">
        <v>30</v>
      </c>
      <c r="M19" s="61">
        <v>30</v>
      </c>
      <c r="N19" s="61">
        <v>30</v>
      </c>
      <c r="O19" s="61">
        <v>30</v>
      </c>
      <c r="P19" s="61">
        <v>30</v>
      </c>
      <c r="Q19" s="8"/>
      <c r="R19" s="8"/>
    </row>
    <row r="20" spans="1:18" x14ac:dyDescent="0.2">
      <c r="A20" s="62">
        <f t="shared" si="0"/>
        <v>12</v>
      </c>
      <c r="B20" s="70" t="s">
        <v>95</v>
      </c>
      <c r="C20" s="70" t="s">
        <v>45</v>
      </c>
      <c r="D20" s="61">
        <v>47</v>
      </c>
      <c r="E20" s="61">
        <v>47</v>
      </c>
      <c r="F20" s="61">
        <v>47</v>
      </c>
      <c r="G20" s="61">
        <v>47</v>
      </c>
      <c r="H20" s="61">
        <v>47</v>
      </c>
      <c r="I20" s="61">
        <v>47</v>
      </c>
      <c r="J20" s="61">
        <v>47</v>
      </c>
      <c r="K20" s="61">
        <v>47</v>
      </c>
      <c r="L20" s="61">
        <v>47</v>
      </c>
      <c r="M20" s="61">
        <v>47</v>
      </c>
      <c r="N20" s="61">
        <v>47</v>
      </c>
      <c r="O20" s="61">
        <v>47</v>
      </c>
      <c r="P20" s="61">
        <v>47</v>
      </c>
      <c r="Q20" s="8"/>
      <c r="R20" s="8"/>
    </row>
    <row r="21" spans="1:18" x14ac:dyDescent="0.2">
      <c r="A21" s="62">
        <f t="shared" si="0"/>
        <v>13</v>
      </c>
      <c r="B21" s="70" t="s">
        <v>193</v>
      </c>
      <c r="C21" s="70" t="s">
        <v>195</v>
      </c>
      <c r="D21" s="61">
        <v>22</v>
      </c>
      <c r="E21" s="61">
        <v>22</v>
      </c>
      <c r="F21" s="61">
        <v>22</v>
      </c>
      <c r="G21" s="61">
        <v>22</v>
      </c>
      <c r="H21" s="61">
        <v>22</v>
      </c>
      <c r="I21" s="61">
        <v>22</v>
      </c>
      <c r="J21" s="61">
        <v>22</v>
      </c>
      <c r="K21" s="61">
        <v>22</v>
      </c>
      <c r="L21" s="61">
        <v>22</v>
      </c>
      <c r="M21" s="61">
        <v>22</v>
      </c>
      <c r="N21" s="61">
        <v>22</v>
      </c>
      <c r="O21" s="61">
        <v>22</v>
      </c>
      <c r="P21" s="61">
        <v>22</v>
      </c>
      <c r="Q21" s="8"/>
      <c r="R21" s="8"/>
    </row>
    <row r="22" spans="1:18" x14ac:dyDescent="0.2">
      <c r="A22" s="62">
        <f t="shared" si="0"/>
        <v>14</v>
      </c>
      <c r="B22" s="70" t="s">
        <v>154</v>
      </c>
      <c r="C22" s="70" t="s">
        <v>171</v>
      </c>
      <c r="D22" s="61">
        <v>69</v>
      </c>
      <c r="E22" s="61">
        <v>69</v>
      </c>
      <c r="F22" s="61">
        <v>69</v>
      </c>
      <c r="G22" s="61">
        <v>69</v>
      </c>
      <c r="H22" s="61">
        <v>69</v>
      </c>
      <c r="I22" s="61">
        <v>69</v>
      </c>
      <c r="J22" s="61">
        <v>69</v>
      </c>
      <c r="K22" s="61">
        <v>69</v>
      </c>
      <c r="L22" s="61">
        <v>69</v>
      </c>
      <c r="M22" s="61">
        <v>69</v>
      </c>
      <c r="N22" s="61">
        <v>69</v>
      </c>
      <c r="O22" s="61">
        <v>69</v>
      </c>
      <c r="P22" s="61">
        <v>69</v>
      </c>
      <c r="Q22" s="8"/>
      <c r="R22" s="8"/>
    </row>
    <row r="23" spans="1:18" x14ac:dyDescent="0.2">
      <c r="A23" s="62">
        <f t="shared" si="0"/>
        <v>15</v>
      </c>
      <c r="B23" s="70" t="s">
        <v>73</v>
      </c>
      <c r="C23" s="70" t="s">
        <v>13</v>
      </c>
      <c r="D23" s="61">
        <v>87</v>
      </c>
      <c r="E23" s="61">
        <v>87</v>
      </c>
      <c r="F23" s="61">
        <v>87</v>
      </c>
      <c r="G23" s="61">
        <v>87</v>
      </c>
      <c r="H23" s="61">
        <v>87</v>
      </c>
      <c r="I23" s="61">
        <v>87</v>
      </c>
      <c r="J23" s="61">
        <v>87</v>
      </c>
      <c r="K23" s="61">
        <v>87</v>
      </c>
      <c r="L23" s="61">
        <v>87</v>
      </c>
      <c r="M23" s="61">
        <v>87</v>
      </c>
      <c r="N23" s="61">
        <v>87</v>
      </c>
      <c r="O23" s="61">
        <v>87</v>
      </c>
      <c r="P23" s="61">
        <v>87</v>
      </c>
      <c r="Q23" s="8"/>
      <c r="R23" s="8"/>
    </row>
    <row r="24" spans="1:18" x14ac:dyDescent="0.2">
      <c r="A24" s="62">
        <f t="shared" si="0"/>
        <v>16</v>
      </c>
      <c r="B24" s="70" t="s">
        <v>12</v>
      </c>
      <c r="C24" s="70" t="s">
        <v>28</v>
      </c>
      <c r="D24" s="61">
        <v>39</v>
      </c>
      <c r="E24" s="61">
        <v>39</v>
      </c>
      <c r="F24" s="61">
        <v>39</v>
      </c>
      <c r="G24" s="61">
        <v>39</v>
      </c>
      <c r="H24" s="61">
        <v>39</v>
      </c>
      <c r="I24" s="61">
        <v>39</v>
      </c>
      <c r="J24" s="61">
        <v>39</v>
      </c>
      <c r="K24" s="61">
        <v>39</v>
      </c>
      <c r="L24" s="61">
        <v>39</v>
      </c>
      <c r="M24" s="61">
        <v>39</v>
      </c>
      <c r="N24" s="61">
        <v>39</v>
      </c>
      <c r="O24" s="61">
        <v>39</v>
      </c>
      <c r="P24" s="61">
        <v>39</v>
      </c>
      <c r="Q24" s="8"/>
      <c r="R24" s="8"/>
    </row>
    <row r="25" spans="1:18" ht="13.5" customHeight="1" x14ac:dyDescent="0.2">
      <c r="A25" s="62">
        <f t="shared" si="0"/>
        <v>17</v>
      </c>
      <c r="B25" s="70" t="s">
        <v>7</v>
      </c>
      <c r="C25" s="70" t="s">
        <v>25</v>
      </c>
      <c r="D25" s="61">
        <v>27</v>
      </c>
      <c r="E25" s="61">
        <v>27</v>
      </c>
      <c r="F25" s="61">
        <v>27</v>
      </c>
      <c r="G25" s="61">
        <v>27</v>
      </c>
      <c r="H25" s="61">
        <v>27</v>
      </c>
      <c r="I25" s="61">
        <v>27</v>
      </c>
      <c r="J25" s="61">
        <v>27</v>
      </c>
      <c r="K25" s="61">
        <v>27</v>
      </c>
      <c r="L25" s="61">
        <v>27</v>
      </c>
      <c r="M25" s="61">
        <v>27</v>
      </c>
      <c r="N25" s="61">
        <v>27</v>
      </c>
      <c r="O25" s="61">
        <v>27</v>
      </c>
      <c r="P25" s="61">
        <v>27</v>
      </c>
      <c r="Q25" s="8"/>
      <c r="R25" s="8"/>
    </row>
    <row r="26" spans="1:18" ht="15.75" customHeight="1" x14ac:dyDescent="0.2">
      <c r="A26" s="62">
        <f t="shared" si="0"/>
        <v>18</v>
      </c>
      <c r="B26" s="70" t="s">
        <v>194</v>
      </c>
      <c r="C26" s="70" t="s">
        <v>175</v>
      </c>
      <c r="D26" s="61">
        <v>5</v>
      </c>
      <c r="E26" s="61">
        <v>5</v>
      </c>
      <c r="F26" s="61">
        <v>5</v>
      </c>
      <c r="G26" s="61">
        <v>5</v>
      </c>
      <c r="H26" s="61">
        <v>5</v>
      </c>
      <c r="I26" s="61">
        <v>5</v>
      </c>
      <c r="J26" s="61">
        <v>5</v>
      </c>
      <c r="K26" s="61">
        <v>5</v>
      </c>
      <c r="L26" s="61">
        <v>5</v>
      </c>
      <c r="M26" s="61">
        <v>5</v>
      </c>
      <c r="N26" s="61">
        <v>5</v>
      </c>
      <c r="O26" s="61">
        <v>5</v>
      </c>
      <c r="P26" s="61">
        <v>5</v>
      </c>
      <c r="Q26" s="8"/>
      <c r="R26" s="8"/>
    </row>
    <row r="27" spans="1:18" ht="13.5" customHeight="1" x14ac:dyDescent="0.2">
      <c r="A27" s="35"/>
      <c r="B27" s="65"/>
      <c r="C27" s="65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x14ac:dyDescent="0.2">
      <c r="A28" s="35"/>
      <c r="B28" s="3"/>
      <c r="C28" s="3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15" customHeight="1" x14ac:dyDescent="0.2">
      <c r="A29" s="35"/>
      <c r="B29" s="3"/>
      <c r="C29" s="3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18" x14ac:dyDescent="0.2">
      <c r="A30" s="35"/>
      <c r="B30" s="3"/>
      <c r="C30" s="3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x14ac:dyDescent="0.2">
      <c r="A31" s="35"/>
      <c r="B31" s="3"/>
      <c r="C31" s="3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18" x14ac:dyDescent="0.2">
      <c r="A32" s="35"/>
      <c r="B32" s="3"/>
      <c r="C32" s="3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10"/>
    </row>
    <row r="33" spans="1:18" x14ac:dyDescent="0.2">
      <c r="A33" s="35"/>
      <c r="B33" s="3"/>
      <c r="C33" s="3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10"/>
    </row>
    <row r="34" spans="1:18" x14ac:dyDescent="0.2">
      <c r="A34" s="35"/>
      <c r="B34" s="3"/>
      <c r="C34" s="3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  <c r="R34" s="10"/>
    </row>
    <row r="35" spans="1:18" x14ac:dyDescent="0.2">
      <c r="A35" s="35"/>
      <c r="B35" s="3"/>
      <c r="C35" s="3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10"/>
    </row>
    <row r="36" spans="1:18" x14ac:dyDescent="0.2">
      <c r="A36" s="35"/>
      <c r="B36" s="13"/>
      <c r="C36" s="3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10"/>
    </row>
    <row r="37" spans="1:18" x14ac:dyDescent="0.2">
      <c r="A37" s="35"/>
      <c r="B37" s="13"/>
      <c r="C37" s="3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  <c r="R37" s="10"/>
    </row>
    <row r="38" spans="1:18" ht="11.25" customHeight="1" x14ac:dyDescent="0.2">
      <c r="A38" s="35"/>
      <c r="B38" s="14"/>
      <c r="C38" s="3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10"/>
    </row>
    <row r="39" spans="1:18" x14ac:dyDescent="0.2">
      <c r="A39" s="35"/>
      <c r="B39" s="14"/>
      <c r="C39" s="3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9"/>
      <c r="R39" s="10"/>
    </row>
    <row r="40" spans="1:18" x14ac:dyDescent="0.2">
      <c r="A40" s="35"/>
      <c r="B40" s="15"/>
      <c r="C40" s="3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10"/>
    </row>
    <row r="41" spans="1:18" x14ac:dyDescent="0.2">
      <c r="A41" s="35"/>
      <c r="B41" s="13"/>
      <c r="C41" s="3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10"/>
    </row>
    <row r="42" spans="1:18" x14ac:dyDescent="0.2">
      <c r="A42" s="35"/>
      <c r="B42" s="16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</row>
    <row r="43" spans="1:18" x14ac:dyDescent="0.2">
      <c r="A43" s="35"/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</row>
    <row r="44" spans="1:18" ht="15" x14ac:dyDescent="0.25">
      <c r="A44" s="95" t="s">
        <v>67</v>
      </c>
      <c r="B44" s="96"/>
      <c r="C44" s="97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</row>
    <row r="45" spans="1:18" x14ac:dyDescent="0.2">
      <c r="A45" s="55"/>
    </row>
    <row r="46" spans="1:18" ht="65.25" customHeight="1" x14ac:dyDescent="0.2">
      <c r="A46" s="55"/>
      <c r="B46" s="123" t="s">
        <v>131</v>
      </c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</row>
    <row r="47" spans="1:18" ht="22.5" customHeight="1" x14ac:dyDescent="0.2"/>
    <row r="48" spans="1:18" ht="68.25" customHeight="1" x14ac:dyDescent="0.2"/>
  </sheetData>
  <mergeCells count="16">
    <mergeCell ref="C3:R3"/>
    <mergeCell ref="B4:M4"/>
    <mergeCell ref="P4:R4"/>
    <mergeCell ref="B1:R1"/>
    <mergeCell ref="B2:R2"/>
    <mergeCell ref="B46:R46"/>
    <mergeCell ref="R7:R8"/>
    <mergeCell ref="A5:A8"/>
    <mergeCell ref="B5:B8"/>
    <mergeCell ref="D5:F5"/>
    <mergeCell ref="G5:I5"/>
    <mergeCell ref="J5:L5"/>
    <mergeCell ref="M5:P5"/>
    <mergeCell ref="Q5:Q6"/>
    <mergeCell ref="R5:R6"/>
    <mergeCell ref="A44:C44"/>
  </mergeCells>
  <printOptions horizontalCentered="1" verticalCentered="1"/>
  <pageMargins left="0.25" right="0.75" top="0.75" bottom="0.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42"/>
  <sheetViews>
    <sheetView zoomScaleNormal="100" workbookViewId="0">
      <selection activeCell="D19" sqref="D19"/>
    </sheetView>
  </sheetViews>
  <sheetFormatPr defaultRowHeight="12.75" x14ac:dyDescent="0.2"/>
  <cols>
    <col min="1" max="1" width="5" customWidth="1"/>
    <col min="2" max="2" width="19.7109375" customWidth="1"/>
    <col min="3" max="3" width="8.28515625" customWidth="1"/>
    <col min="4" max="4" width="4.42578125" customWidth="1"/>
    <col min="5" max="5" width="4" customWidth="1"/>
    <col min="6" max="6" width="4.140625" customWidth="1"/>
    <col min="7" max="8" width="3.85546875" customWidth="1"/>
    <col min="9" max="9" width="4.140625" customWidth="1"/>
    <col min="10" max="10" width="4.42578125" customWidth="1"/>
    <col min="11" max="11" width="3.7109375" customWidth="1"/>
    <col min="12" max="12" width="4" customWidth="1"/>
    <col min="13" max="13" width="4.85546875" customWidth="1"/>
    <col min="14" max="15" width="3.42578125" customWidth="1"/>
    <col min="16" max="16" width="3" customWidth="1"/>
    <col min="17" max="17" width="5.28515625" customWidth="1"/>
    <col min="18" max="18" width="4.140625" customWidth="1"/>
  </cols>
  <sheetData>
    <row r="1" spans="1:18" ht="15" x14ac:dyDescent="0.2">
      <c r="A1" s="6"/>
      <c r="B1" s="92" t="s">
        <v>50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</row>
    <row r="2" spans="1:18" ht="15" x14ac:dyDescent="0.2">
      <c r="A2" s="6"/>
      <c r="B2" s="92" t="s">
        <v>179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</row>
    <row r="3" spans="1:18" ht="15" x14ac:dyDescent="0.25">
      <c r="A3" s="19"/>
      <c r="B3" s="20" t="s">
        <v>66</v>
      </c>
      <c r="C3" s="101" t="s">
        <v>57</v>
      </c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3"/>
    </row>
    <row r="4" spans="1:18" ht="15" x14ac:dyDescent="0.25">
      <c r="A4" s="19"/>
      <c r="B4" s="104" t="s">
        <v>58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21" t="s">
        <v>8</v>
      </c>
      <c r="O4" s="21"/>
      <c r="P4" s="90"/>
      <c r="Q4" s="90"/>
      <c r="R4" s="91"/>
    </row>
    <row r="5" spans="1:18" ht="15" x14ac:dyDescent="0.2">
      <c r="A5" s="127" t="s">
        <v>65</v>
      </c>
      <c r="B5" s="93" t="s">
        <v>1</v>
      </c>
      <c r="C5" s="22" t="s">
        <v>10</v>
      </c>
      <c r="D5" s="89">
        <v>1</v>
      </c>
      <c r="E5" s="90"/>
      <c r="F5" s="90"/>
      <c r="G5" s="89">
        <v>2</v>
      </c>
      <c r="H5" s="90"/>
      <c r="I5" s="90"/>
      <c r="J5" s="89">
        <v>3</v>
      </c>
      <c r="K5" s="90"/>
      <c r="L5" s="90"/>
      <c r="M5" s="89">
        <v>4</v>
      </c>
      <c r="N5" s="90"/>
      <c r="O5" s="90"/>
      <c r="P5" s="91"/>
      <c r="Q5" s="92" t="s">
        <v>0</v>
      </c>
      <c r="R5" s="92" t="s">
        <v>3</v>
      </c>
    </row>
    <row r="6" spans="1:18" ht="15" x14ac:dyDescent="0.2">
      <c r="A6" s="128"/>
      <c r="B6" s="94"/>
      <c r="C6" s="23" t="s">
        <v>9</v>
      </c>
      <c r="D6" s="23"/>
      <c r="E6" s="23"/>
      <c r="F6" s="23"/>
      <c r="G6" s="23"/>
      <c r="H6" s="23"/>
      <c r="I6" s="23"/>
      <c r="J6" s="23"/>
      <c r="K6" s="23"/>
      <c r="L6" s="23"/>
      <c r="M6" s="24"/>
      <c r="N6" s="24"/>
      <c r="O6" s="24"/>
      <c r="P6" s="24"/>
      <c r="Q6" s="92"/>
      <c r="R6" s="92"/>
    </row>
    <row r="7" spans="1:18" ht="15" x14ac:dyDescent="0.2">
      <c r="A7" s="128"/>
      <c r="B7" s="94"/>
      <c r="C7" s="24" t="s">
        <v>4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93"/>
    </row>
    <row r="8" spans="1:18" ht="15" x14ac:dyDescent="0.2">
      <c r="A8" s="129"/>
      <c r="B8" s="94"/>
      <c r="C8" s="25" t="s">
        <v>5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94"/>
    </row>
    <row r="9" spans="1:18" ht="15" x14ac:dyDescent="0.25">
      <c r="A9" s="78">
        <v>1</v>
      </c>
      <c r="B9" s="64" t="s">
        <v>104</v>
      </c>
      <c r="C9" s="64" t="s">
        <v>113</v>
      </c>
      <c r="D9" s="74">
        <v>10</v>
      </c>
      <c r="E9" s="24">
        <v>10</v>
      </c>
      <c r="F9" s="24">
        <v>10</v>
      </c>
      <c r="G9" s="24">
        <v>10</v>
      </c>
      <c r="H9" s="24">
        <v>10</v>
      </c>
      <c r="I9" s="24">
        <v>10</v>
      </c>
      <c r="J9" s="24">
        <v>10</v>
      </c>
      <c r="K9" s="24">
        <v>10</v>
      </c>
      <c r="L9" s="24">
        <v>10</v>
      </c>
      <c r="M9" s="24">
        <v>10</v>
      </c>
      <c r="N9" s="24">
        <v>10</v>
      </c>
      <c r="O9" s="24">
        <v>10</v>
      </c>
      <c r="P9" s="24">
        <v>10</v>
      </c>
      <c r="Q9" s="24"/>
      <c r="R9" s="24"/>
    </row>
    <row r="10" spans="1:18" ht="15" x14ac:dyDescent="0.25">
      <c r="A10" s="78">
        <f>A9+1</f>
        <v>2</v>
      </c>
      <c r="B10" s="64" t="s">
        <v>105</v>
      </c>
      <c r="C10" s="64" t="s">
        <v>114</v>
      </c>
      <c r="D10" s="74">
        <v>32</v>
      </c>
      <c r="E10" s="24">
        <v>32</v>
      </c>
      <c r="F10" s="24">
        <v>32</v>
      </c>
      <c r="G10" s="24">
        <v>32</v>
      </c>
      <c r="H10" s="24">
        <v>32</v>
      </c>
      <c r="I10" s="24">
        <v>32</v>
      </c>
      <c r="J10" s="24">
        <v>32</v>
      </c>
      <c r="K10" s="24">
        <v>32</v>
      </c>
      <c r="L10" s="24">
        <v>32</v>
      </c>
      <c r="M10" s="24">
        <v>32</v>
      </c>
      <c r="N10" s="24">
        <v>32</v>
      </c>
      <c r="O10" s="24">
        <v>32</v>
      </c>
      <c r="P10" s="24">
        <v>32</v>
      </c>
      <c r="Q10" s="24"/>
      <c r="R10" s="24"/>
    </row>
    <row r="11" spans="1:18" ht="15" x14ac:dyDescent="0.25">
      <c r="A11" s="78">
        <f t="shared" ref="A11:A19" si="0">A10+1</f>
        <v>3</v>
      </c>
      <c r="B11" s="64" t="s">
        <v>106</v>
      </c>
      <c r="C11" s="64" t="s">
        <v>115</v>
      </c>
      <c r="D11" s="74">
        <v>57</v>
      </c>
      <c r="E11" s="24">
        <v>57</v>
      </c>
      <c r="F11" s="24">
        <v>57</v>
      </c>
      <c r="G11" s="24">
        <v>57</v>
      </c>
      <c r="H11" s="24">
        <v>57</v>
      </c>
      <c r="I11" s="24">
        <v>57</v>
      </c>
      <c r="J11" s="24">
        <v>57</v>
      </c>
      <c r="K11" s="24">
        <v>57</v>
      </c>
      <c r="L11" s="24">
        <v>57</v>
      </c>
      <c r="M11" s="24">
        <v>57</v>
      </c>
      <c r="N11" s="24">
        <v>57</v>
      </c>
      <c r="O11" s="24">
        <v>57</v>
      </c>
      <c r="P11" s="24">
        <v>57</v>
      </c>
      <c r="Q11" s="24"/>
      <c r="R11" s="24"/>
    </row>
    <row r="12" spans="1:18" ht="15" x14ac:dyDescent="0.25">
      <c r="A12" s="78">
        <f t="shared" si="0"/>
        <v>4</v>
      </c>
      <c r="B12" s="64" t="s">
        <v>107</v>
      </c>
      <c r="C12" s="64" t="s">
        <v>116</v>
      </c>
      <c r="D12" s="74">
        <v>23</v>
      </c>
      <c r="E12" s="24">
        <v>23</v>
      </c>
      <c r="F12" s="24">
        <v>23</v>
      </c>
      <c r="G12" s="24">
        <v>23</v>
      </c>
      <c r="H12" s="24">
        <v>23</v>
      </c>
      <c r="I12" s="24">
        <v>23</v>
      </c>
      <c r="J12" s="24">
        <v>23</v>
      </c>
      <c r="K12" s="24">
        <v>23</v>
      </c>
      <c r="L12" s="24">
        <v>23</v>
      </c>
      <c r="M12" s="24">
        <v>23</v>
      </c>
      <c r="N12" s="24">
        <v>23</v>
      </c>
      <c r="O12" s="24">
        <v>23</v>
      </c>
      <c r="P12" s="24">
        <v>23</v>
      </c>
      <c r="Q12" s="24"/>
      <c r="R12" s="24"/>
    </row>
    <row r="13" spans="1:18" ht="15" x14ac:dyDescent="0.25">
      <c r="A13" s="78">
        <f t="shared" si="0"/>
        <v>5</v>
      </c>
      <c r="B13" s="64" t="s">
        <v>108</v>
      </c>
      <c r="C13" s="64" t="s">
        <v>117</v>
      </c>
      <c r="D13" s="74">
        <v>55</v>
      </c>
      <c r="E13" s="24">
        <v>55</v>
      </c>
      <c r="F13" s="24">
        <v>55</v>
      </c>
      <c r="G13" s="24">
        <v>55</v>
      </c>
      <c r="H13" s="24">
        <v>55</v>
      </c>
      <c r="I13" s="24">
        <v>55</v>
      </c>
      <c r="J13" s="24">
        <v>55</v>
      </c>
      <c r="K13" s="24">
        <v>55</v>
      </c>
      <c r="L13" s="24">
        <v>55</v>
      </c>
      <c r="M13" s="24">
        <v>55</v>
      </c>
      <c r="N13" s="24">
        <v>55</v>
      </c>
      <c r="O13" s="24">
        <v>55</v>
      </c>
      <c r="P13" s="24">
        <v>55</v>
      </c>
      <c r="Q13" s="24"/>
      <c r="R13" s="24"/>
    </row>
    <row r="14" spans="1:18" ht="15" x14ac:dyDescent="0.25">
      <c r="A14" s="78">
        <f t="shared" si="0"/>
        <v>6</v>
      </c>
      <c r="B14" s="64" t="s">
        <v>109</v>
      </c>
      <c r="C14" s="64" t="s">
        <v>118</v>
      </c>
      <c r="D14" s="74">
        <v>84</v>
      </c>
      <c r="E14" s="24">
        <v>84</v>
      </c>
      <c r="F14" s="24">
        <v>84</v>
      </c>
      <c r="G14" s="24">
        <v>84</v>
      </c>
      <c r="H14" s="24">
        <v>84</v>
      </c>
      <c r="I14" s="24">
        <v>84</v>
      </c>
      <c r="J14" s="24">
        <v>84</v>
      </c>
      <c r="K14" s="24">
        <v>84</v>
      </c>
      <c r="L14" s="24">
        <v>84</v>
      </c>
      <c r="M14" s="24">
        <v>84</v>
      </c>
      <c r="N14" s="24">
        <v>84</v>
      </c>
      <c r="O14" s="24">
        <v>84</v>
      </c>
      <c r="P14" s="24">
        <v>84</v>
      </c>
      <c r="Q14" s="24"/>
      <c r="R14" s="24"/>
    </row>
    <row r="15" spans="1:18" ht="15" x14ac:dyDescent="0.25">
      <c r="A15" s="78">
        <f t="shared" si="0"/>
        <v>7</v>
      </c>
      <c r="B15" s="64" t="s">
        <v>183</v>
      </c>
      <c r="C15" s="64" t="s">
        <v>119</v>
      </c>
      <c r="D15" s="74">
        <v>53</v>
      </c>
      <c r="E15" s="24">
        <v>53</v>
      </c>
      <c r="F15" s="24">
        <v>53</v>
      </c>
      <c r="G15" s="24">
        <v>53</v>
      </c>
      <c r="H15" s="24">
        <v>53</v>
      </c>
      <c r="I15" s="24">
        <v>53</v>
      </c>
      <c r="J15" s="24">
        <v>53</v>
      </c>
      <c r="K15" s="24">
        <v>53</v>
      </c>
      <c r="L15" s="24">
        <v>53</v>
      </c>
      <c r="M15" s="24">
        <v>53</v>
      </c>
      <c r="N15" s="24">
        <v>53</v>
      </c>
      <c r="O15" s="24">
        <v>53</v>
      </c>
      <c r="P15" s="24">
        <v>53</v>
      </c>
      <c r="Q15" s="24"/>
      <c r="R15" s="24"/>
    </row>
    <row r="16" spans="1:18" ht="15" x14ac:dyDescent="0.25">
      <c r="A16" s="78">
        <f t="shared" si="0"/>
        <v>8</v>
      </c>
      <c r="B16" s="64" t="s">
        <v>110</v>
      </c>
      <c r="C16" s="64" t="s">
        <v>120</v>
      </c>
      <c r="D16" s="74">
        <v>43</v>
      </c>
      <c r="E16" s="24">
        <v>43</v>
      </c>
      <c r="F16" s="24">
        <v>43</v>
      </c>
      <c r="G16" s="24">
        <v>43</v>
      </c>
      <c r="H16" s="24">
        <v>43</v>
      </c>
      <c r="I16" s="24">
        <v>43</v>
      </c>
      <c r="J16" s="24">
        <v>43</v>
      </c>
      <c r="K16" s="24">
        <v>43</v>
      </c>
      <c r="L16" s="24">
        <v>43</v>
      </c>
      <c r="M16" s="24">
        <v>43</v>
      </c>
      <c r="N16" s="24">
        <v>43</v>
      </c>
      <c r="O16" s="24">
        <v>43</v>
      </c>
      <c r="P16" s="24">
        <v>43</v>
      </c>
      <c r="Q16" s="24"/>
      <c r="R16" s="24"/>
    </row>
    <row r="17" spans="1:18" ht="15" x14ac:dyDescent="0.25">
      <c r="A17" s="78">
        <f t="shared" si="0"/>
        <v>9</v>
      </c>
      <c r="B17" s="64" t="s">
        <v>111</v>
      </c>
      <c r="C17" s="64" t="s">
        <v>121</v>
      </c>
      <c r="D17" s="74">
        <v>40</v>
      </c>
      <c r="E17" s="24">
        <v>40</v>
      </c>
      <c r="F17" s="24">
        <v>40</v>
      </c>
      <c r="G17" s="24">
        <v>40</v>
      </c>
      <c r="H17" s="24">
        <v>40</v>
      </c>
      <c r="I17" s="24">
        <v>40</v>
      </c>
      <c r="J17" s="24">
        <v>40</v>
      </c>
      <c r="K17" s="24">
        <v>40</v>
      </c>
      <c r="L17" s="24">
        <v>40</v>
      </c>
      <c r="M17" s="24">
        <v>40</v>
      </c>
      <c r="N17" s="24">
        <v>40</v>
      </c>
      <c r="O17" s="24">
        <v>40</v>
      </c>
      <c r="P17" s="24">
        <v>40</v>
      </c>
      <c r="Q17" s="24"/>
      <c r="R17" s="24"/>
    </row>
    <row r="18" spans="1:18" ht="15" x14ac:dyDescent="0.25">
      <c r="A18" s="78">
        <f t="shared" si="0"/>
        <v>10</v>
      </c>
      <c r="B18" s="64" t="s">
        <v>112</v>
      </c>
      <c r="C18" s="64" t="s">
        <v>55</v>
      </c>
      <c r="D18" s="74">
        <v>9</v>
      </c>
      <c r="E18" s="24">
        <v>9</v>
      </c>
      <c r="F18" s="24">
        <v>9</v>
      </c>
      <c r="G18" s="24">
        <v>9</v>
      </c>
      <c r="H18" s="24">
        <v>9</v>
      </c>
      <c r="I18" s="24">
        <v>9</v>
      </c>
      <c r="J18" s="24">
        <v>9</v>
      </c>
      <c r="K18" s="24">
        <v>9</v>
      </c>
      <c r="L18" s="24">
        <v>9</v>
      </c>
      <c r="M18" s="24">
        <v>9</v>
      </c>
      <c r="N18" s="24">
        <v>9</v>
      </c>
      <c r="O18" s="24">
        <v>9</v>
      </c>
      <c r="P18" s="24">
        <v>9</v>
      </c>
      <c r="Q18" s="24"/>
      <c r="R18" s="24"/>
    </row>
    <row r="19" spans="1:18" ht="15" x14ac:dyDescent="0.25">
      <c r="A19" s="78">
        <f t="shared" si="0"/>
        <v>11</v>
      </c>
      <c r="B19" s="80" t="s">
        <v>182</v>
      </c>
      <c r="C19" s="80" t="s">
        <v>85</v>
      </c>
      <c r="D19" s="24">
        <v>89</v>
      </c>
      <c r="E19" s="24">
        <v>89</v>
      </c>
      <c r="F19" s="24">
        <v>89</v>
      </c>
      <c r="G19" s="24">
        <v>89</v>
      </c>
      <c r="H19" s="24">
        <v>89</v>
      </c>
      <c r="I19" s="24">
        <v>89</v>
      </c>
      <c r="J19" s="24">
        <v>89</v>
      </c>
      <c r="K19" s="24">
        <v>89</v>
      </c>
      <c r="L19" s="24">
        <v>89</v>
      </c>
      <c r="M19" s="24">
        <v>89</v>
      </c>
      <c r="N19" s="24">
        <v>89</v>
      </c>
      <c r="O19" s="24">
        <v>89</v>
      </c>
      <c r="P19" s="24">
        <v>89</v>
      </c>
      <c r="Q19" s="24"/>
      <c r="R19" s="24"/>
    </row>
    <row r="20" spans="1:18" ht="15" x14ac:dyDescent="0.25">
      <c r="A20" s="78"/>
      <c r="B20" s="26"/>
      <c r="C20" s="26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1:18" ht="15" x14ac:dyDescent="0.25">
      <c r="A21" s="78"/>
      <c r="B21" s="26"/>
      <c r="C21" s="26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1:18" ht="15" x14ac:dyDescent="0.25">
      <c r="A22" s="78"/>
      <c r="B22" s="26"/>
      <c r="C22" s="26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1:18" ht="15" x14ac:dyDescent="0.25">
      <c r="A23" s="78"/>
      <c r="B23" s="26"/>
      <c r="C23" s="26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1:18" ht="15" x14ac:dyDescent="0.25">
      <c r="A24" s="78"/>
      <c r="B24" s="26"/>
      <c r="C24" s="26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ht="13.5" customHeight="1" x14ac:dyDescent="0.25">
      <c r="A25" s="78"/>
      <c r="B25" s="26"/>
      <c r="C25" s="26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ht="15" x14ac:dyDescent="0.25">
      <c r="A26" s="78"/>
      <c r="B26" s="26"/>
      <c r="C26" s="26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1:18" ht="13.5" customHeight="1" x14ac:dyDescent="0.25">
      <c r="A27" s="78"/>
      <c r="B27" s="26"/>
      <c r="C27" s="26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  <row r="28" spans="1:18" ht="15" x14ac:dyDescent="0.25">
      <c r="A28" s="78"/>
      <c r="B28" s="27"/>
      <c r="C28" s="26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</row>
    <row r="29" spans="1:18" ht="15" customHeight="1" x14ac:dyDescent="0.25">
      <c r="A29" s="78"/>
      <c r="B29" s="26"/>
      <c r="C29" s="28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</row>
    <row r="30" spans="1:18" ht="15" x14ac:dyDescent="0.25">
      <c r="A30" s="78"/>
      <c r="B30" s="27"/>
      <c r="C30" s="26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</row>
    <row r="31" spans="1:18" ht="15" x14ac:dyDescent="0.25">
      <c r="A31" s="78"/>
      <c r="B31" s="27"/>
      <c r="C31" s="26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</row>
    <row r="32" spans="1:18" ht="15" x14ac:dyDescent="0.25">
      <c r="A32" s="78"/>
      <c r="B32" s="26"/>
      <c r="C32" s="26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</row>
    <row r="33" spans="1:18" ht="15" x14ac:dyDescent="0.25">
      <c r="A33" s="36"/>
      <c r="B33" s="30"/>
      <c r="C33" s="31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32"/>
    </row>
    <row r="34" spans="1:18" ht="15" x14ac:dyDescent="0.25">
      <c r="A34" s="36"/>
      <c r="B34" s="30"/>
      <c r="C34" s="31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32"/>
    </row>
    <row r="35" spans="1:18" ht="15" x14ac:dyDescent="0.25">
      <c r="A35" s="36"/>
      <c r="B35" s="30"/>
      <c r="C35" s="31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5"/>
      <c r="R35" s="32"/>
    </row>
    <row r="36" spans="1:18" ht="15" x14ac:dyDescent="0.25">
      <c r="A36" s="36"/>
      <c r="B36" s="33"/>
      <c r="C36" s="31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32"/>
    </row>
    <row r="37" spans="1:18" ht="15" x14ac:dyDescent="0.2">
      <c r="A37" s="95" t="s">
        <v>67</v>
      </c>
      <c r="B37" s="125"/>
      <c r="C37" s="126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</row>
    <row r="38" spans="1:18" ht="11.25" customHeight="1" x14ac:dyDescent="0.2">
      <c r="A38" s="98" t="s">
        <v>71</v>
      </c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</row>
    <row r="39" spans="1:18" x14ac:dyDescent="0.2">
      <c r="A39" s="17"/>
      <c r="B39" s="124" t="s">
        <v>61</v>
      </c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</row>
    <row r="42" spans="1:18" ht="68.25" customHeight="1" x14ac:dyDescent="0.2"/>
  </sheetData>
  <mergeCells count="17">
    <mergeCell ref="C3:R3"/>
    <mergeCell ref="B4:M4"/>
    <mergeCell ref="P4:R4"/>
    <mergeCell ref="B1:R1"/>
    <mergeCell ref="B2:R2"/>
    <mergeCell ref="B39:R39"/>
    <mergeCell ref="A37:C37"/>
    <mergeCell ref="A38:R38"/>
    <mergeCell ref="Q5:Q6"/>
    <mergeCell ref="R5:R6"/>
    <mergeCell ref="R7:R8"/>
    <mergeCell ref="A5:A8"/>
    <mergeCell ref="B5:B8"/>
    <mergeCell ref="D5:F5"/>
    <mergeCell ref="G5:I5"/>
    <mergeCell ref="J5:L5"/>
    <mergeCell ref="M5:P5"/>
  </mergeCells>
  <printOptions horizontalCentered="1" verticalCentered="1"/>
  <pageMargins left="0.25" right="0" top="0.75" bottom="0.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54"/>
  <sheetViews>
    <sheetView tabSelected="1" zoomScale="145" zoomScaleNormal="145" workbookViewId="0">
      <selection activeCell="O8" sqref="O8"/>
    </sheetView>
  </sheetViews>
  <sheetFormatPr defaultRowHeight="12.75" x14ac:dyDescent="0.2"/>
  <cols>
    <col min="1" max="1" width="5.7109375" customWidth="1"/>
    <col min="2" max="2" width="17.5703125" customWidth="1"/>
    <col min="3" max="3" width="7.42578125" customWidth="1"/>
    <col min="4" max="6" width="3" bestFit="1" customWidth="1"/>
    <col min="7" max="7" width="3" customWidth="1"/>
    <col min="8" max="8" width="3" style="150" bestFit="1" customWidth="1"/>
    <col min="9" max="9" width="3" style="144" bestFit="1" customWidth="1"/>
    <col min="10" max="10" width="3" style="149" bestFit="1" customWidth="1"/>
    <col min="11" max="11" width="3" customWidth="1"/>
    <col min="12" max="13" width="3" style="144" bestFit="1" customWidth="1"/>
    <col min="14" max="14" width="3" customWidth="1"/>
    <col min="15" max="15" width="3" bestFit="1" customWidth="1"/>
    <col min="16" max="16" width="6.85546875" customWidth="1"/>
    <col min="17" max="17" width="6.140625" customWidth="1"/>
  </cols>
  <sheetData>
    <row r="1" spans="1:17" x14ac:dyDescent="0.2">
      <c r="A1" s="45"/>
      <c r="B1" s="130" t="s">
        <v>2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</row>
    <row r="2" spans="1:17" x14ac:dyDescent="0.2">
      <c r="A2" s="46"/>
      <c r="B2" s="130" t="s">
        <v>191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</row>
    <row r="3" spans="1:17" x14ac:dyDescent="0.2">
      <c r="A3" s="46"/>
      <c r="B3" s="47" t="s">
        <v>207</v>
      </c>
      <c r="C3" s="131" t="s">
        <v>208</v>
      </c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</row>
    <row r="4" spans="1:17" x14ac:dyDescent="0.2">
      <c r="A4" s="48"/>
      <c r="B4" s="132" t="s">
        <v>209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1"/>
      <c r="Q4" s="131"/>
    </row>
    <row r="5" spans="1:17" x14ac:dyDescent="0.2">
      <c r="A5" s="133" t="s">
        <v>63</v>
      </c>
      <c r="B5" s="131" t="s">
        <v>1</v>
      </c>
      <c r="C5" s="49"/>
      <c r="D5" s="136"/>
      <c r="E5" s="137"/>
      <c r="F5" s="137"/>
      <c r="G5" s="137"/>
      <c r="H5" s="138"/>
      <c r="I5" s="136"/>
      <c r="J5" s="137"/>
      <c r="K5" s="137"/>
      <c r="L5" s="137"/>
      <c r="M5" s="138"/>
      <c r="N5" s="77"/>
      <c r="O5" s="76"/>
      <c r="P5" s="133" t="s">
        <v>0</v>
      </c>
      <c r="Q5" s="133" t="s">
        <v>204</v>
      </c>
    </row>
    <row r="6" spans="1:17" x14ac:dyDescent="0.2">
      <c r="A6" s="134"/>
      <c r="B6" s="131"/>
      <c r="C6" s="49" t="s">
        <v>6</v>
      </c>
      <c r="D6" s="49">
        <v>15</v>
      </c>
      <c r="E6" s="49">
        <v>17</v>
      </c>
      <c r="F6" s="49">
        <v>21</v>
      </c>
      <c r="G6" s="49">
        <v>22</v>
      </c>
      <c r="H6" s="50">
        <v>24</v>
      </c>
      <c r="I6" s="49">
        <v>28</v>
      </c>
      <c r="J6" s="50">
        <v>29</v>
      </c>
      <c r="K6" s="49">
        <v>30</v>
      </c>
      <c r="L6" s="49">
        <v>4</v>
      </c>
      <c r="M6" s="49">
        <v>5</v>
      </c>
      <c r="N6" s="49">
        <v>7</v>
      </c>
      <c r="O6" s="49">
        <v>8</v>
      </c>
      <c r="P6" s="135"/>
      <c r="Q6" s="135"/>
    </row>
    <row r="7" spans="1:17" x14ac:dyDescent="0.2">
      <c r="A7" s="134"/>
      <c r="B7" s="131"/>
      <c r="C7" s="49" t="s">
        <v>206</v>
      </c>
      <c r="D7" s="82"/>
      <c r="E7" s="82"/>
      <c r="F7" s="82"/>
      <c r="G7" s="82"/>
      <c r="H7" s="139"/>
      <c r="I7" s="82"/>
      <c r="J7" s="139"/>
      <c r="K7" s="82"/>
      <c r="L7" s="82"/>
      <c r="M7" s="82"/>
      <c r="N7" s="82"/>
      <c r="O7" s="82"/>
      <c r="P7" s="139"/>
      <c r="Q7" s="140">
        <v>100</v>
      </c>
    </row>
    <row r="8" spans="1:17" x14ac:dyDescent="0.2">
      <c r="A8" s="135"/>
      <c r="B8" s="133"/>
      <c r="C8" s="73" t="s">
        <v>5</v>
      </c>
      <c r="D8" s="87">
        <v>3</v>
      </c>
      <c r="E8" s="87">
        <v>3</v>
      </c>
      <c r="F8" s="87">
        <v>3</v>
      </c>
      <c r="G8" s="87">
        <v>3</v>
      </c>
      <c r="H8" s="143">
        <v>3</v>
      </c>
      <c r="I8" s="87">
        <v>3</v>
      </c>
      <c r="J8" s="143">
        <v>3</v>
      </c>
      <c r="K8" s="87">
        <v>3</v>
      </c>
      <c r="L8" s="87">
        <v>3</v>
      </c>
      <c r="M8" s="87">
        <v>3</v>
      </c>
      <c r="N8" s="87">
        <v>3</v>
      </c>
      <c r="O8" s="87">
        <v>3</v>
      </c>
      <c r="P8" s="143">
        <f>SUM(D8:O8)</f>
        <v>36</v>
      </c>
      <c r="Q8" s="140"/>
    </row>
    <row r="9" spans="1:17" x14ac:dyDescent="0.2">
      <c r="A9" s="71">
        <v>1</v>
      </c>
      <c r="B9" s="70" t="s">
        <v>51</v>
      </c>
      <c r="C9" s="70" t="s">
        <v>52</v>
      </c>
      <c r="D9" s="81">
        <v>3</v>
      </c>
      <c r="E9" s="81">
        <v>3</v>
      </c>
      <c r="F9" s="81">
        <v>3</v>
      </c>
      <c r="G9" s="81">
        <v>3</v>
      </c>
      <c r="H9" s="145">
        <v>3</v>
      </c>
      <c r="I9" s="81">
        <v>3</v>
      </c>
      <c r="J9" s="145">
        <v>3</v>
      </c>
      <c r="K9" s="81">
        <v>0</v>
      </c>
      <c r="L9" s="81">
        <v>3</v>
      </c>
      <c r="M9" s="81">
        <v>3</v>
      </c>
      <c r="N9" s="81">
        <v>3</v>
      </c>
      <c r="O9" s="81">
        <v>3</v>
      </c>
      <c r="P9" s="139">
        <f t="shared" ref="P9:P24" si="0">SUM(D9:O9)</f>
        <v>33</v>
      </c>
      <c r="Q9" s="141">
        <f>P9/36</f>
        <v>0.91666666666666663</v>
      </c>
    </row>
    <row r="10" spans="1:17" x14ac:dyDescent="0.2">
      <c r="A10" s="71">
        <f>A9+1</f>
        <v>2</v>
      </c>
      <c r="B10" s="70" t="s">
        <v>102</v>
      </c>
      <c r="C10" s="70" t="s">
        <v>55</v>
      </c>
      <c r="D10" s="81">
        <v>3</v>
      </c>
      <c r="E10" s="81">
        <v>3</v>
      </c>
      <c r="F10" s="81">
        <v>3</v>
      </c>
      <c r="G10" s="81">
        <v>3</v>
      </c>
      <c r="H10" s="145">
        <v>3</v>
      </c>
      <c r="I10" s="81">
        <v>3</v>
      </c>
      <c r="J10" s="145">
        <v>3</v>
      </c>
      <c r="K10" s="81">
        <v>3</v>
      </c>
      <c r="L10" s="81">
        <v>3</v>
      </c>
      <c r="M10" s="81">
        <v>0</v>
      </c>
      <c r="N10" s="81">
        <v>3</v>
      </c>
      <c r="O10" s="81">
        <v>3</v>
      </c>
      <c r="P10" s="139">
        <f t="shared" si="0"/>
        <v>33</v>
      </c>
      <c r="Q10" s="141">
        <f t="shared" ref="Q10:Q24" si="1">P10/36</f>
        <v>0.91666666666666663</v>
      </c>
    </row>
    <row r="11" spans="1:17" x14ac:dyDescent="0.2">
      <c r="A11" s="71">
        <f t="shared" ref="A11:A24" si="2">A10+1</f>
        <v>3</v>
      </c>
      <c r="B11" s="70" t="s">
        <v>96</v>
      </c>
      <c r="C11" s="70" t="s">
        <v>56</v>
      </c>
      <c r="D11" s="81">
        <v>3</v>
      </c>
      <c r="E11" s="81">
        <v>3</v>
      </c>
      <c r="F11" s="81">
        <v>3</v>
      </c>
      <c r="G11" s="81">
        <v>3</v>
      </c>
      <c r="H11" s="145">
        <v>3</v>
      </c>
      <c r="I11" s="81">
        <v>3</v>
      </c>
      <c r="J11" s="145">
        <v>3</v>
      </c>
      <c r="K11" s="81">
        <v>0</v>
      </c>
      <c r="L11" s="81">
        <v>3</v>
      </c>
      <c r="M11" s="81">
        <v>3</v>
      </c>
      <c r="N11" s="81">
        <v>3</v>
      </c>
      <c r="O11" s="81">
        <v>3</v>
      </c>
      <c r="P11" s="139">
        <f t="shared" si="0"/>
        <v>33</v>
      </c>
      <c r="Q11" s="141">
        <f t="shared" si="1"/>
        <v>0.91666666666666663</v>
      </c>
    </row>
    <row r="12" spans="1:17" x14ac:dyDescent="0.2">
      <c r="A12" s="71">
        <f t="shared" si="2"/>
        <v>4</v>
      </c>
      <c r="B12" s="70" t="s">
        <v>33</v>
      </c>
      <c r="C12" s="70" t="s">
        <v>53</v>
      </c>
      <c r="D12" s="81">
        <v>3</v>
      </c>
      <c r="E12" s="81">
        <v>3</v>
      </c>
      <c r="F12" s="81">
        <v>3</v>
      </c>
      <c r="G12" s="81">
        <v>3</v>
      </c>
      <c r="H12" s="145">
        <v>3</v>
      </c>
      <c r="I12" s="81">
        <v>3</v>
      </c>
      <c r="J12" s="145">
        <v>3</v>
      </c>
      <c r="K12" s="81">
        <v>0</v>
      </c>
      <c r="L12" s="81">
        <v>3</v>
      </c>
      <c r="M12" s="81">
        <v>3</v>
      </c>
      <c r="N12" s="81">
        <v>3</v>
      </c>
      <c r="O12" s="81">
        <v>3</v>
      </c>
      <c r="P12" s="139">
        <f t="shared" si="0"/>
        <v>33</v>
      </c>
      <c r="Q12" s="141">
        <f t="shared" si="1"/>
        <v>0.91666666666666663</v>
      </c>
    </row>
    <row r="13" spans="1:17" x14ac:dyDescent="0.2">
      <c r="A13" s="71">
        <f t="shared" si="2"/>
        <v>5</v>
      </c>
      <c r="B13" s="70" t="s">
        <v>97</v>
      </c>
      <c r="C13" s="70" t="s">
        <v>40</v>
      </c>
      <c r="D13" s="81">
        <v>3</v>
      </c>
      <c r="E13" s="81">
        <v>3</v>
      </c>
      <c r="F13" s="81">
        <v>3</v>
      </c>
      <c r="G13" s="81">
        <v>3</v>
      </c>
      <c r="H13" s="145">
        <v>3</v>
      </c>
      <c r="I13" s="81">
        <v>3</v>
      </c>
      <c r="J13" s="145">
        <v>3</v>
      </c>
      <c r="K13" s="81">
        <v>0</v>
      </c>
      <c r="L13" s="81">
        <v>3</v>
      </c>
      <c r="M13" s="81">
        <v>3</v>
      </c>
      <c r="N13" s="81">
        <v>3</v>
      </c>
      <c r="O13" s="81">
        <v>3</v>
      </c>
      <c r="P13" s="139">
        <f t="shared" si="0"/>
        <v>33</v>
      </c>
      <c r="Q13" s="141">
        <f t="shared" si="1"/>
        <v>0.91666666666666663</v>
      </c>
    </row>
    <row r="14" spans="1:17" x14ac:dyDescent="0.2">
      <c r="A14" s="71">
        <f t="shared" si="2"/>
        <v>6</v>
      </c>
      <c r="B14" s="70" t="s">
        <v>98</v>
      </c>
      <c r="C14" s="70" t="s">
        <v>38</v>
      </c>
      <c r="D14" s="81">
        <v>3</v>
      </c>
      <c r="E14" s="81">
        <v>3</v>
      </c>
      <c r="F14" s="81">
        <v>3</v>
      </c>
      <c r="G14" s="81">
        <v>3</v>
      </c>
      <c r="H14" s="145">
        <v>3</v>
      </c>
      <c r="I14" s="81">
        <v>3</v>
      </c>
      <c r="J14" s="145">
        <v>3</v>
      </c>
      <c r="K14" s="81">
        <v>0</v>
      </c>
      <c r="L14" s="81">
        <v>3</v>
      </c>
      <c r="M14" s="81">
        <v>3</v>
      </c>
      <c r="N14" s="81">
        <v>3</v>
      </c>
      <c r="O14" s="81">
        <v>3</v>
      </c>
      <c r="P14" s="139">
        <f t="shared" si="0"/>
        <v>33</v>
      </c>
      <c r="Q14" s="141">
        <f t="shared" si="1"/>
        <v>0.91666666666666663</v>
      </c>
    </row>
    <row r="15" spans="1:17" x14ac:dyDescent="0.2">
      <c r="A15" s="71">
        <f t="shared" si="2"/>
        <v>7</v>
      </c>
      <c r="B15" s="70" t="s">
        <v>99</v>
      </c>
      <c r="C15" s="70" t="s">
        <v>42</v>
      </c>
      <c r="D15" s="81">
        <v>3</v>
      </c>
      <c r="E15" s="81">
        <v>3</v>
      </c>
      <c r="F15" s="81">
        <v>3</v>
      </c>
      <c r="G15" s="81">
        <v>3</v>
      </c>
      <c r="H15" s="145">
        <v>3</v>
      </c>
      <c r="I15" s="81">
        <v>3</v>
      </c>
      <c r="J15" s="145">
        <v>3</v>
      </c>
      <c r="K15" s="81">
        <v>0</v>
      </c>
      <c r="L15" s="81">
        <v>0</v>
      </c>
      <c r="M15" s="81">
        <v>3</v>
      </c>
      <c r="N15" s="81">
        <v>3</v>
      </c>
      <c r="O15" s="81">
        <v>3</v>
      </c>
      <c r="P15" s="139">
        <f t="shared" si="0"/>
        <v>30</v>
      </c>
      <c r="Q15" s="141">
        <f t="shared" si="1"/>
        <v>0.83333333333333337</v>
      </c>
    </row>
    <row r="16" spans="1:17" ht="13.5" customHeight="1" x14ac:dyDescent="0.2">
      <c r="A16" s="71">
        <f t="shared" si="2"/>
        <v>8</v>
      </c>
      <c r="B16" s="70" t="s">
        <v>149</v>
      </c>
      <c r="C16" s="70" t="s">
        <v>54</v>
      </c>
      <c r="D16" s="81">
        <v>3</v>
      </c>
      <c r="E16" s="81">
        <v>3</v>
      </c>
      <c r="F16" s="81">
        <v>3</v>
      </c>
      <c r="G16" s="81">
        <v>3</v>
      </c>
      <c r="H16" s="145">
        <v>3</v>
      </c>
      <c r="I16" s="81">
        <v>3</v>
      </c>
      <c r="J16" s="145">
        <v>3</v>
      </c>
      <c r="K16" s="81">
        <v>3</v>
      </c>
      <c r="L16" s="81">
        <v>0</v>
      </c>
      <c r="M16" s="81">
        <v>3</v>
      </c>
      <c r="N16" s="81">
        <v>3</v>
      </c>
      <c r="O16" s="81">
        <v>3</v>
      </c>
      <c r="P16" s="139">
        <f t="shared" si="0"/>
        <v>33</v>
      </c>
      <c r="Q16" s="141">
        <f t="shared" si="1"/>
        <v>0.91666666666666663</v>
      </c>
    </row>
    <row r="17" spans="1:17" x14ac:dyDescent="0.2">
      <c r="A17" s="71">
        <f t="shared" si="2"/>
        <v>9</v>
      </c>
      <c r="B17" s="70" t="s">
        <v>100</v>
      </c>
      <c r="C17" s="70" t="s">
        <v>103</v>
      </c>
      <c r="D17" s="81">
        <v>3</v>
      </c>
      <c r="E17" s="81">
        <v>3</v>
      </c>
      <c r="F17" s="81">
        <v>3</v>
      </c>
      <c r="G17" s="81">
        <v>3</v>
      </c>
      <c r="H17" s="145">
        <v>3</v>
      </c>
      <c r="I17" s="81">
        <v>3</v>
      </c>
      <c r="J17" s="145">
        <v>3</v>
      </c>
      <c r="K17" s="81">
        <v>0</v>
      </c>
      <c r="L17" s="81">
        <v>3</v>
      </c>
      <c r="M17" s="81">
        <v>3</v>
      </c>
      <c r="N17" s="81">
        <v>3</v>
      </c>
      <c r="O17" s="81">
        <v>3</v>
      </c>
      <c r="P17" s="139">
        <f t="shared" si="0"/>
        <v>33</v>
      </c>
      <c r="Q17" s="141">
        <f t="shared" si="1"/>
        <v>0.91666666666666663</v>
      </c>
    </row>
    <row r="18" spans="1:17" x14ac:dyDescent="0.2">
      <c r="A18" s="71">
        <f t="shared" si="2"/>
        <v>10</v>
      </c>
      <c r="B18" s="70" t="s">
        <v>95</v>
      </c>
      <c r="C18" s="70" t="s">
        <v>47</v>
      </c>
      <c r="D18" s="81">
        <v>3</v>
      </c>
      <c r="E18" s="81">
        <v>3</v>
      </c>
      <c r="F18" s="81">
        <v>3</v>
      </c>
      <c r="G18" s="81">
        <v>3</v>
      </c>
      <c r="H18" s="145">
        <v>3</v>
      </c>
      <c r="I18" s="81">
        <v>3</v>
      </c>
      <c r="J18" s="145">
        <v>3</v>
      </c>
      <c r="K18" s="81">
        <v>0</v>
      </c>
      <c r="L18" s="81">
        <v>3</v>
      </c>
      <c r="M18" s="81">
        <v>3</v>
      </c>
      <c r="N18" s="81">
        <v>3</v>
      </c>
      <c r="O18" s="81">
        <v>3</v>
      </c>
      <c r="P18" s="139">
        <f t="shared" si="0"/>
        <v>33</v>
      </c>
      <c r="Q18" s="141">
        <f t="shared" si="1"/>
        <v>0.91666666666666663</v>
      </c>
    </row>
    <row r="19" spans="1:17" x14ac:dyDescent="0.2">
      <c r="A19" s="71">
        <f t="shared" si="2"/>
        <v>11</v>
      </c>
      <c r="B19" s="70" t="s">
        <v>101</v>
      </c>
      <c r="C19" s="70" t="s">
        <v>43</v>
      </c>
      <c r="D19" s="81">
        <v>3</v>
      </c>
      <c r="E19" s="81">
        <v>3</v>
      </c>
      <c r="F19" s="81">
        <v>3</v>
      </c>
      <c r="G19" s="81">
        <v>3</v>
      </c>
      <c r="H19" s="145">
        <v>3</v>
      </c>
      <c r="I19" s="81">
        <v>3</v>
      </c>
      <c r="J19" s="145">
        <v>3</v>
      </c>
      <c r="K19" s="81">
        <v>0</v>
      </c>
      <c r="L19" s="81">
        <v>3</v>
      </c>
      <c r="M19" s="81">
        <v>3</v>
      </c>
      <c r="N19" s="81">
        <v>3</v>
      </c>
      <c r="O19" s="81">
        <v>3</v>
      </c>
      <c r="P19" s="139">
        <f t="shared" si="0"/>
        <v>33</v>
      </c>
      <c r="Q19" s="141">
        <f t="shared" si="1"/>
        <v>0.91666666666666663</v>
      </c>
    </row>
    <row r="20" spans="1:17" x14ac:dyDescent="0.2">
      <c r="A20" s="71">
        <f t="shared" si="2"/>
        <v>12</v>
      </c>
      <c r="B20" s="70" t="s">
        <v>126</v>
      </c>
      <c r="C20" s="70" t="s">
        <v>46</v>
      </c>
      <c r="D20" s="142">
        <v>3</v>
      </c>
      <c r="E20" s="142">
        <v>3</v>
      </c>
      <c r="F20" s="142">
        <v>3</v>
      </c>
      <c r="G20" s="142">
        <v>3</v>
      </c>
      <c r="H20" s="145">
        <v>3</v>
      </c>
      <c r="I20" s="81">
        <v>3</v>
      </c>
      <c r="J20" s="145">
        <v>3</v>
      </c>
      <c r="K20" s="81">
        <v>0</v>
      </c>
      <c r="L20" s="81">
        <v>3</v>
      </c>
      <c r="M20" s="81">
        <v>3</v>
      </c>
      <c r="N20" s="142">
        <v>3</v>
      </c>
      <c r="O20" s="142">
        <v>3</v>
      </c>
      <c r="P20" s="139">
        <f t="shared" si="0"/>
        <v>33</v>
      </c>
      <c r="Q20" s="141">
        <f t="shared" si="1"/>
        <v>0.91666666666666663</v>
      </c>
    </row>
    <row r="21" spans="1:17" x14ac:dyDescent="0.2">
      <c r="A21" s="71">
        <f t="shared" si="2"/>
        <v>13</v>
      </c>
      <c r="B21" s="70" t="s">
        <v>130</v>
      </c>
      <c r="C21" s="70" t="s">
        <v>181</v>
      </c>
      <c r="D21" s="81">
        <v>0</v>
      </c>
      <c r="E21" s="81">
        <v>0</v>
      </c>
      <c r="F21" s="81">
        <v>3</v>
      </c>
      <c r="G21" s="81">
        <v>3</v>
      </c>
      <c r="H21" s="145">
        <v>3</v>
      </c>
      <c r="I21" s="81">
        <v>3</v>
      </c>
      <c r="J21" s="145">
        <v>0</v>
      </c>
      <c r="K21" s="81">
        <v>3</v>
      </c>
      <c r="L21" s="81">
        <v>3</v>
      </c>
      <c r="M21" s="81">
        <v>3</v>
      </c>
      <c r="N21" s="81">
        <v>3</v>
      </c>
      <c r="O21" s="81">
        <v>3</v>
      </c>
      <c r="P21" s="139">
        <f t="shared" si="0"/>
        <v>27</v>
      </c>
      <c r="Q21" s="141">
        <f t="shared" si="1"/>
        <v>0.75</v>
      </c>
    </row>
    <row r="22" spans="1:17" x14ac:dyDescent="0.2">
      <c r="A22" s="71">
        <f t="shared" si="2"/>
        <v>14</v>
      </c>
      <c r="B22" s="70" t="s">
        <v>88</v>
      </c>
      <c r="C22" s="70" t="s">
        <v>41</v>
      </c>
      <c r="D22" s="81">
        <v>3</v>
      </c>
      <c r="E22" s="81">
        <v>3</v>
      </c>
      <c r="F22" s="81">
        <v>3</v>
      </c>
      <c r="G22" s="81">
        <v>3</v>
      </c>
      <c r="H22" s="145">
        <v>3</v>
      </c>
      <c r="I22" s="81">
        <v>3</v>
      </c>
      <c r="J22" s="145">
        <v>3</v>
      </c>
      <c r="K22" s="81">
        <v>0</v>
      </c>
      <c r="L22" s="81">
        <v>0</v>
      </c>
      <c r="M22" s="81">
        <v>3</v>
      </c>
      <c r="N22" s="81">
        <v>3</v>
      </c>
      <c r="O22" s="81">
        <v>3</v>
      </c>
      <c r="P22" s="139">
        <f t="shared" si="0"/>
        <v>30</v>
      </c>
      <c r="Q22" s="141">
        <f t="shared" si="1"/>
        <v>0.83333333333333337</v>
      </c>
    </row>
    <row r="23" spans="1:17" x14ac:dyDescent="0.2">
      <c r="A23" s="71">
        <v>15</v>
      </c>
      <c r="B23" s="75"/>
      <c r="C23" s="75" t="s">
        <v>205</v>
      </c>
      <c r="D23" s="82">
        <v>3</v>
      </c>
      <c r="E23" s="82">
        <v>3</v>
      </c>
      <c r="F23" s="82">
        <v>3</v>
      </c>
      <c r="G23" s="82">
        <v>3</v>
      </c>
      <c r="H23" s="145">
        <v>3</v>
      </c>
      <c r="I23" s="81">
        <v>3</v>
      </c>
      <c r="J23" s="145">
        <v>3</v>
      </c>
      <c r="K23" s="81">
        <v>0</v>
      </c>
      <c r="L23" s="81">
        <v>0</v>
      </c>
      <c r="M23" s="81">
        <v>3</v>
      </c>
      <c r="N23" s="82">
        <v>3</v>
      </c>
      <c r="O23" s="82">
        <v>3</v>
      </c>
      <c r="P23" s="139">
        <f t="shared" si="0"/>
        <v>30</v>
      </c>
      <c r="Q23" s="141">
        <f t="shared" si="1"/>
        <v>0.83333333333333337</v>
      </c>
    </row>
    <row r="24" spans="1:17" x14ac:dyDescent="0.2">
      <c r="A24" s="71">
        <f t="shared" si="2"/>
        <v>16</v>
      </c>
      <c r="B24" s="51"/>
      <c r="C24" s="51" t="s">
        <v>160</v>
      </c>
      <c r="D24" s="82">
        <v>3</v>
      </c>
      <c r="E24" s="82">
        <v>3</v>
      </c>
      <c r="F24" s="82">
        <v>3</v>
      </c>
      <c r="G24" s="82">
        <v>3</v>
      </c>
      <c r="H24" s="145">
        <v>3</v>
      </c>
      <c r="I24" s="81">
        <v>3</v>
      </c>
      <c r="J24" s="145">
        <v>0</v>
      </c>
      <c r="K24" s="81">
        <v>3</v>
      </c>
      <c r="L24" s="81">
        <v>0</v>
      </c>
      <c r="M24" s="81">
        <v>3</v>
      </c>
      <c r="N24" s="82">
        <v>3</v>
      </c>
      <c r="O24" s="82">
        <v>3</v>
      </c>
      <c r="P24" s="139">
        <f t="shared" si="0"/>
        <v>30</v>
      </c>
      <c r="Q24" s="141">
        <f t="shared" si="1"/>
        <v>0.83333333333333337</v>
      </c>
    </row>
    <row r="25" spans="1:17" ht="13.5" customHeight="1" x14ac:dyDescent="0.2">
      <c r="A25" s="54"/>
      <c r="B25" s="51"/>
      <c r="C25" s="51"/>
      <c r="D25" s="49"/>
      <c r="E25" s="49"/>
      <c r="F25" s="49"/>
      <c r="G25" s="49"/>
      <c r="H25" s="50"/>
      <c r="I25" s="49"/>
      <c r="J25" s="50"/>
      <c r="K25" s="49"/>
      <c r="L25" s="49"/>
      <c r="M25" s="49"/>
      <c r="N25" s="49"/>
      <c r="O25" s="49"/>
      <c r="P25" s="49"/>
      <c r="Q25" s="49"/>
    </row>
    <row r="26" spans="1:17" x14ac:dyDescent="0.2">
      <c r="A26" s="54"/>
      <c r="B26" s="51"/>
      <c r="C26" s="51"/>
      <c r="D26" s="49"/>
      <c r="E26" s="49"/>
      <c r="F26" s="49"/>
      <c r="G26" s="49"/>
      <c r="H26" s="50"/>
      <c r="I26" s="49"/>
      <c r="J26" s="50"/>
      <c r="K26" s="49"/>
      <c r="L26" s="49"/>
      <c r="M26" s="49"/>
      <c r="N26" s="49"/>
      <c r="O26" s="49"/>
      <c r="P26" s="49"/>
      <c r="Q26" s="49"/>
    </row>
    <row r="27" spans="1:17" x14ac:dyDescent="0.2">
      <c r="A27" s="54"/>
      <c r="B27" s="51"/>
      <c r="C27" s="51"/>
      <c r="D27" s="49"/>
      <c r="E27" s="49"/>
      <c r="F27" s="49"/>
      <c r="G27" s="49"/>
      <c r="H27" s="50"/>
      <c r="I27" s="49"/>
      <c r="J27" s="50"/>
      <c r="K27" s="49"/>
      <c r="L27" s="49"/>
      <c r="M27" s="49"/>
      <c r="N27" s="49"/>
      <c r="O27" s="49"/>
      <c r="P27" s="49"/>
      <c r="Q27" s="49"/>
    </row>
    <row r="28" spans="1:17" x14ac:dyDescent="0.2">
      <c r="A28" s="54"/>
      <c r="B28" s="51"/>
      <c r="C28" s="51"/>
      <c r="D28" s="49"/>
      <c r="E28" s="49"/>
      <c r="F28" s="49"/>
      <c r="G28" s="49"/>
      <c r="H28" s="50"/>
      <c r="I28" s="49"/>
      <c r="J28" s="50"/>
      <c r="K28" s="49"/>
      <c r="L28" s="49"/>
      <c r="M28" s="49"/>
      <c r="N28" s="49"/>
      <c r="O28" s="49"/>
      <c r="P28" s="49"/>
      <c r="Q28" s="49"/>
    </row>
    <row r="29" spans="1:17" ht="15.75" customHeight="1" x14ac:dyDescent="0.2">
      <c r="A29" s="54"/>
      <c r="B29" s="51"/>
      <c r="C29" s="51"/>
      <c r="D29" s="49"/>
      <c r="E29" s="49"/>
      <c r="F29" s="49"/>
      <c r="G29" s="49"/>
      <c r="H29" s="50"/>
      <c r="I29" s="49"/>
      <c r="J29" s="50"/>
      <c r="K29" s="49"/>
      <c r="L29" s="49"/>
      <c r="M29" s="49"/>
      <c r="N29" s="49"/>
      <c r="O29" s="49"/>
      <c r="P29" s="49"/>
      <c r="Q29" s="49"/>
    </row>
    <row r="30" spans="1:17" ht="15" customHeight="1" x14ac:dyDescent="0.2">
      <c r="A30" s="54"/>
      <c r="B30" s="51"/>
      <c r="C30" s="51"/>
      <c r="D30" s="49"/>
      <c r="E30" s="49"/>
      <c r="F30" s="49"/>
      <c r="G30" s="49"/>
      <c r="H30" s="50"/>
      <c r="I30" s="49"/>
      <c r="J30" s="50"/>
      <c r="K30" s="49"/>
      <c r="L30" s="49"/>
      <c r="M30" s="49"/>
      <c r="N30" s="49"/>
      <c r="O30" s="49"/>
      <c r="P30" s="49"/>
      <c r="Q30" s="49"/>
    </row>
    <row r="31" spans="1:17" x14ac:dyDescent="0.2">
      <c r="A31" s="54"/>
      <c r="B31" s="51"/>
      <c r="C31" s="51"/>
      <c r="D31" s="49"/>
      <c r="E31" s="49"/>
      <c r="F31" s="49"/>
      <c r="G31" s="49"/>
      <c r="H31" s="50"/>
      <c r="I31" s="49"/>
      <c r="J31" s="50"/>
      <c r="K31" s="49"/>
      <c r="L31" s="49"/>
      <c r="M31" s="49"/>
      <c r="N31" s="49"/>
      <c r="O31" s="49"/>
      <c r="P31" s="49"/>
      <c r="Q31" s="49"/>
    </row>
    <row r="32" spans="1:17" x14ac:dyDescent="0.2">
      <c r="A32" s="54"/>
      <c r="B32" s="52"/>
      <c r="C32" s="51"/>
      <c r="D32" s="49"/>
      <c r="E32" s="49"/>
      <c r="F32" s="49"/>
      <c r="G32" s="49"/>
      <c r="H32" s="50"/>
      <c r="I32" s="49"/>
      <c r="J32" s="50"/>
      <c r="K32" s="49"/>
      <c r="L32" s="49"/>
      <c r="M32" s="49"/>
      <c r="N32" s="49"/>
      <c r="O32" s="49"/>
      <c r="P32" s="49"/>
      <c r="Q32" s="49"/>
    </row>
    <row r="33" spans="1:17" x14ac:dyDescent="0.2">
      <c r="A33" s="54"/>
      <c r="B33" s="51"/>
      <c r="C33" s="51"/>
      <c r="D33" s="49"/>
      <c r="E33" s="49"/>
      <c r="F33" s="49"/>
      <c r="G33" s="49"/>
      <c r="H33" s="50"/>
      <c r="I33" s="49"/>
      <c r="J33" s="50"/>
      <c r="K33" s="49"/>
      <c r="L33" s="49"/>
      <c r="M33" s="49"/>
      <c r="N33" s="49"/>
      <c r="O33" s="49"/>
      <c r="P33" s="49"/>
      <c r="Q33" s="49"/>
    </row>
    <row r="34" spans="1:17" x14ac:dyDescent="0.2">
      <c r="A34" s="54"/>
      <c r="B34" s="52"/>
      <c r="C34" s="51"/>
      <c r="D34" s="49"/>
      <c r="E34" s="49"/>
      <c r="F34" s="49"/>
      <c r="G34" s="49"/>
      <c r="H34" s="50"/>
      <c r="I34" s="49"/>
      <c r="J34" s="50"/>
      <c r="K34" s="49"/>
      <c r="L34" s="49"/>
      <c r="M34" s="49"/>
      <c r="N34" s="49"/>
      <c r="O34" s="49"/>
      <c r="P34" s="49"/>
      <c r="Q34" s="49"/>
    </row>
    <row r="35" spans="1:17" ht="12.75" customHeight="1" x14ac:dyDescent="0.2">
      <c r="A35" s="54"/>
      <c r="B35" s="51"/>
      <c r="C35" s="51"/>
      <c r="D35" s="49"/>
      <c r="E35" s="49"/>
      <c r="F35" s="49"/>
      <c r="G35" s="49"/>
      <c r="H35" s="50"/>
      <c r="I35" s="49"/>
      <c r="J35" s="50"/>
      <c r="K35" s="49"/>
      <c r="L35" s="49"/>
      <c r="M35" s="49"/>
      <c r="N35" s="49"/>
      <c r="O35" s="49"/>
      <c r="P35" s="49"/>
      <c r="Q35" s="49"/>
    </row>
    <row r="36" spans="1:17" ht="13.5" customHeight="1" x14ac:dyDescent="0.2">
      <c r="A36" s="54"/>
      <c r="B36" s="77"/>
      <c r="C36" s="72"/>
      <c r="D36" s="53"/>
      <c r="E36" s="53"/>
      <c r="F36" s="53"/>
      <c r="G36" s="53"/>
      <c r="H36" s="53"/>
      <c r="I36" s="39"/>
      <c r="J36" s="53"/>
      <c r="K36" s="53"/>
      <c r="L36" s="39"/>
      <c r="M36" s="39"/>
      <c r="N36" s="53"/>
      <c r="O36" s="53"/>
      <c r="P36" s="50"/>
      <c r="Q36" s="39"/>
    </row>
    <row r="37" spans="1:17" ht="15" x14ac:dyDescent="0.2">
      <c r="A37" s="40"/>
      <c r="B37" s="40"/>
      <c r="C37" s="40"/>
      <c r="D37" s="40"/>
      <c r="E37" s="40"/>
      <c r="F37" s="40"/>
      <c r="G37" s="40"/>
      <c r="H37" s="146"/>
      <c r="I37" s="40"/>
      <c r="J37" s="146"/>
      <c r="K37" s="40"/>
      <c r="L37" s="40"/>
      <c r="M37" s="40"/>
      <c r="N37" s="40"/>
      <c r="O37" s="40"/>
      <c r="P37" s="42"/>
    </row>
    <row r="38" spans="1:17" ht="15" customHeight="1" x14ac:dyDescent="0.25">
      <c r="A38" s="41" t="s">
        <v>68</v>
      </c>
      <c r="B38" s="41"/>
      <c r="C38" s="41"/>
      <c r="D38" s="41"/>
      <c r="E38" s="41"/>
      <c r="F38" s="41"/>
      <c r="G38" s="41"/>
      <c r="H38" s="147"/>
      <c r="I38" s="41"/>
      <c r="J38" s="147"/>
      <c r="K38" s="41"/>
      <c r="L38" s="41"/>
      <c r="M38" s="41"/>
      <c r="N38" s="41"/>
      <c r="O38" s="41"/>
      <c r="P38" s="43"/>
    </row>
    <row r="39" spans="1:17" ht="15" x14ac:dyDescent="0.2">
      <c r="A39" s="76" t="s">
        <v>69</v>
      </c>
      <c r="B39" s="88" t="s">
        <v>62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</row>
    <row r="40" spans="1:17" ht="16.5" customHeight="1" x14ac:dyDescent="0.2">
      <c r="A40" s="40"/>
      <c r="B40" s="42"/>
      <c r="C40" s="42"/>
      <c r="D40" s="42"/>
      <c r="E40" s="42"/>
      <c r="F40" s="42"/>
      <c r="G40" s="42"/>
      <c r="H40" s="148"/>
      <c r="I40" s="42"/>
      <c r="J40" s="148"/>
      <c r="K40" s="42"/>
      <c r="L40" s="42"/>
      <c r="M40" s="42"/>
      <c r="N40" s="42"/>
      <c r="O40" s="42"/>
      <c r="P40" s="42"/>
      <c r="Q40" s="42"/>
    </row>
    <row r="41" spans="1:17" ht="15" x14ac:dyDescent="0.25">
      <c r="A41" s="43"/>
      <c r="B41" s="42"/>
      <c r="C41" s="42"/>
      <c r="D41" s="42"/>
      <c r="E41" s="42"/>
      <c r="F41" s="42"/>
      <c r="G41" s="42"/>
      <c r="H41" s="148"/>
      <c r="I41" s="42"/>
      <c r="J41" s="148"/>
      <c r="K41" s="42"/>
      <c r="L41" s="42"/>
      <c r="M41" s="42"/>
      <c r="N41" s="42"/>
      <c r="O41" s="42"/>
      <c r="P41" s="42"/>
      <c r="Q41" s="42"/>
    </row>
    <row r="42" spans="1:17" ht="63" customHeight="1" x14ac:dyDescent="0.25">
      <c r="A42" s="44"/>
      <c r="B42" s="42"/>
      <c r="C42" s="42"/>
      <c r="D42" s="42"/>
      <c r="E42" s="42"/>
      <c r="F42" s="42"/>
      <c r="G42" s="42"/>
      <c r="H42" s="148"/>
      <c r="I42" s="42"/>
      <c r="J42" s="148"/>
      <c r="K42" s="42"/>
      <c r="L42" s="42"/>
      <c r="M42" s="42"/>
      <c r="N42" s="42"/>
      <c r="O42" s="42"/>
      <c r="P42" s="42"/>
      <c r="Q42" s="42"/>
    </row>
    <row r="43" spans="1:17" ht="15" x14ac:dyDescent="0.25">
      <c r="A43" s="44"/>
      <c r="B43" s="42"/>
      <c r="C43" s="42"/>
      <c r="D43" s="42"/>
      <c r="E43" s="42"/>
      <c r="F43" s="42"/>
      <c r="G43" s="42"/>
      <c r="H43" s="148"/>
      <c r="I43" s="42"/>
      <c r="J43" s="148"/>
      <c r="K43" s="42"/>
      <c r="L43" s="42"/>
      <c r="M43" s="42"/>
      <c r="N43" s="42"/>
      <c r="O43" s="42"/>
      <c r="P43" s="42"/>
      <c r="Q43" s="42"/>
    </row>
    <row r="44" spans="1:17" ht="15" x14ac:dyDescent="0.25">
      <c r="A44" s="44"/>
      <c r="B44" s="42"/>
      <c r="C44" s="42"/>
      <c r="D44" s="42"/>
      <c r="E44" s="42"/>
      <c r="F44" s="42"/>
      <c r="G44" s="42"/>
      <c r="H44" s="148"/>
      <c r="I44" s="42"/>
      <c r="J44" s="148"/>
      <c r="K44" s="42"/>
      <c r="L44" s="42"/>
      <c r="M44" s="42"/>
      <c r="N44" s="42"/>
      <c r="O44" s="42"/>
      <c r="P44" s="42"/>
      <c r="Q44" s="42"/>
    </row>
    <row r="45" spans="1:17" ht="15" x14ac:dyDescent="0.25">
      <c r="A45" s="44"/>
      <c r="B45" s="42"/>
      <c r="C45" s="42"/>
      <c r="D45" s="42"/>
      <c r="E45" s="42"/>
      <c r="F45" s="42"/>
      <c r="G45" s="42"/>
      <c r="H45" s="148"/>
      <c r="I45" s="42"/>
      <c r="J45" s="148"/>
      <c r="K45" s="42"/>
      <c r="L45" s="42"/>
      <c r="M45" s="42"/>
      <c r="N45" s="42"/>
      <c r="O45" s="42"/>
      <c r="P45" s="42"/>
      <c r="Q45" s="42"/>
    </row>
    <row r="46" spans="1:17" x14ac:dyDescent="0.2">
      <c r="A46" s="42"/>
      <c r="B46" s="42"/>
      <c r="C46" s="42"/>
      <c r="D46" s="42"/>
      <c r="E46" s="42"/>
      <c r="F46" s="42"/>
      <c r="G46" s="42"/>
      <c r="H46" s="148"/>
      <c r="I46" s="42"/>
      <c r="J46" s="148"/>
      <c r="K46" s="42"/>
      <c r="L46" s="42"/>
      <c r="M46" s="42"/>
      <c r="N46" s="42"/>
      <c r="O46" s="42"/>
      <c r="P46" s="42"/>
      <c r="Q46" s="42"/>
    </row>
    <row r="47" spans="1:17" x14ac:dyDescent="0.2">
      <c r="A47" s="42"/>
      <c r="B47" s="42"/>
      <c r="C47" s="42"/>
      <c r="D47" s="42"/>
      <c r="E47" s="42"/>
      <c r="F47" s="42"/>
      <c r="G47" s="42"/>
      <c r="H47" s="148"/>
      <c r="I47" s="42"/>
      <c r="J47" s="148"/>
      <c r="K47" s="42"/>
      <c r="L47" s="42"/>
      <c r="M47" s="42"/>
      <c r="N47" s="42"/>
      <c r="O47" s="42"/>
      <c r="P47" s="42"/>
      <c r="Q47" s="42"/>
    </row>
    <row r="48" spans="1:17" x14ac:dyDescent="0.2">
      <c r="A48" s="42"/>
      <c r="B48" s="42"/>
      <c r="C48" s="42"/>
      <c r="D48" s="42"/>
      <c r="E48" s="42"/>
      <c r="F48" s="42"/>
      <c r="G48" s="42"/>
      <c r="H48" s="148"/>
      <c r="I48" s="42"/>
      <c r="J48" s="148"/>
      <c r="K48" s="42"/>
      <c r="L48" s="42"/>
      <c r="M48" s="42"/>
      <c r="N48" s="42"/>
      <c r="O48" s="42"/>
      <c r="P48" s="42"/>
      <c r="Q48" s="42"/>
    </row>
    <row r="49" spans="1:17" x14ac:dyDescent="0.2">
      <c r="A49" s="42"/>
      <c r="B49" s="42"/>
      <c r="C49" s="42"/>
      <c r="D49" s="42"/>
      <c r="E49" s="42"/>
      <c r="F49" s="42"/>
      <c r="G49" s="42"/>
      <c r="H49" s="148"/>
      <c r="I49" s="42"/>
      <c r="J49" s="148"/>
      <c r="K49" s="42"/>
      <c r="L49" s="42"/>
      <c r="M49" s="42"/>
      <c r="N49" s="42"/>
      <c r="O49" s="42"/>
      <c r="P49" s="42"/>
      <c r="Q49" s="42"/>
    </row>
    <row r="50" spans="1:17" x14ac:dyDescent="0.2">
      <c r="A50" s="42"/>
      <c r="B50" s="42"/>
      <c r="C50" s="42"/>
      <c r="D50" s="42"/>
      <c r="E50" s="42"/>
      <c r="F50" s="42"/>
      <c r="G50" s="42"/>
      <c r="H50" s="148"/>
      <c r="I50" s="42"/>
      <c r="J50" s="148"/>
      <c r="K50" s="42"/>
      <c r="L50" s="42"/>
      <c r="M50" s="42"/>
      <c r="N50" s="42"/>
      <c r="O50" s="42"/>
      <c r="P50" s="42"/>
      <c r="Q50" s="42"/>
    </row>
    <row r="51" spans="1:17" x14ac:dyDescent="0.2">
      <c r="A51" s="42"/>
      <c r="B51" s="42"/>
      <c r="C51" s="42"/>
      <c r="D51" s="42"/>
      <c r="E51" s="42"/>
      <c r="F51" s="42"/>
      <c r="G51" s="42"/>
      <c r="H51" s="148"/>
      <c r="I51" s="42"/>
      <c r="J51" s="148"/>
      <c r="K51" s="42"/>
      <c r="L51" s="42"/>
      <c r="M51" s="42"/>
      <c r="N51" s="42"/>
      <c r="O51" s="42"/>
      <c r="P51" s="42"/>
      <c r="Q51" s="42"/>
    </row>
    <row r="52" spans="1:17" x14ac:dyDescent="0.2">
      <c r="A52" s="42"/>
    </row>
    <row r="53" spans="1:17" x14ac:dyDescent="0.2">
      <c r="A53" s="42"/>
    </row>
    <row r="54" spans="1:17" x14ac:dyDescent="0.2">
      <c r="A54" s="42"/>
    </row>
  </sheetData>
  <mergeCells count="13">
    <mergeCell ref="A5:A8"/>
    <mergeCell ref="Q5:Q6"/>
    <mergeCell ref="Q7:Q8"/>
    <mergeCell ref="B39:Q39"/>
    <mergeCell ref="B5:B8"/>
    <mergeCell ref="D5:H5"/>
    <mergeCell ref="I5:M5"/>
    <mergeCell ref="P5:P6"/>
    <mergeCell ref="B1:Q1"/>
    <mergeCell ref="B2:Q2"/>
    <mergeCell ref="C3:Q3"/>
    <mergeCell ref="B4:O4"/>
    <mergeCell ref="P4:Q4"/>
  </mergeCells>
  <pageMargins left="0.25" right="0.75" top="0.75" bottom="0.75" header="0.3" footer="0.3"/>
  <pageSetup paperSize="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Electricity meg</vt:lpstr>
      <vt:lpstr>Electro magnetic feild theo (2</vt:lpstr>
      <vt:lpstr>Power system Analysis </vt:lpstr>
      <vt:lpstr>Signal &amp; systen </vt:lpstr>
      <vt:lpstr>calulus and Analystical Geomatr</vt:lpstr>
      <vt:lpstr>Electrical network analysis </vt:lpstr>
    </vt:vector>
  </TitlesOfParts>
  <Company>CED BUET Khuzdar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Hidayatullah Shahwani</dc:creator>
  <cp:lastModifiedBy>Wazir laghari</cp:lastModifiedBy>
  <cp:lastPrinted>2023-08-26T05:12:31Z</cp:lastPrinted>
  <dcterms:created xsi:type="dcterms:W3CDTF">2008-05-21T07:32:55Z</dcterms:created>
  <dcterms:modified xsi:type="dcterms:W3CDTF">2023-09-08T17:28:15Z</dcterms:modified>
</cp:coreProperties>
</file>